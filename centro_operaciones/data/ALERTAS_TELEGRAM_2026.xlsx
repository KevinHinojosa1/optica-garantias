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mc:AlternateContent xmlns:mc="http://schemas.openxmlformats.org/markup-compatibility/2006">
    <mc:Choice Requires="x15">
      <x15ac:absPath xmlns:x15ac="http://schemas.microsoft.com/office/spreadsheetml/2010/11/ac" url="https://opticalosandesec-my.sharepoint.com/personal/jlascano_ola_ec/Documents/"/>
    </mc:Choice>
  </mc:AlternateContent>
  <xr:revisionPtr revIDLastSave="0" documentId="8_{92A91279-81F7-40B1-9B79-7A24347D975A}" xr6:coauthVersionLast="47" xr6:coauthVersionMax="47" xr10:uidLastSave="{00000000-0000-0000-0000-000000000000}"/>
  <bookViews>
    <workbookView xWindow="-120" yWindow="-120" windowWidth="20730" windowHeight="11040" tabRatio="763" xr2:uid="{00000000-000D-0000-FFFF-FFFF00000000}"/>
  </bookViews>
  <sheets>
    <sheet name="GENERAL" sheetId="1" r:id="rId1"/>
    <sheet name="datos por personal" sheetId="6" r:id="rId2"/>
    <sheet name="RESUMEN ENERO-FEBRERO- MARZO" sheetId="4" r:id="rId3"/>
    <sheet name="Detalle llamadas" sheetId="5" state="hidden" r:id="rId4"/>
    <sheet name="RESUMEN ABRIL" sheetId="7" r:id="rId5"/>
    <sheet name="RESUMEN MAYO - JUNIO" sheetId="8" r:id="rId6"/>
    <sheet name="OPTOMETRÍA" sheetId="2" state="hidden" r:id="rId7"/>
  </sheets>
  <definedNames>
    <definedName name="_xlnm._FilterDatabase" localSheetId="1" hidden="1">'datos por personal'!$J$1:$J$222</definedName>
    <definedName name="_xlnm._FilterDatabase" localSheetId="0" hidden="1">GENERAL!$A$1:$W$733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8" l="1"/>
  <c r="H2" i="8"/>
  <c r="H35" i="8"/>
  <c r="I34" i="8"/>
  <c r="I32" i="8"/>
  <c r="H29" i="8"/>
  <c r="I28" i="8"/>
  <c r="I26" i="8"/>
  <c r="H23" i="8"/>
  <c r="I22" i="8"/>
  <c r="I20" i="8"/>
  <c r="H17" i="8"/>
  <c r="I16" i="8"/>
  <c r="I14" i="8"/>
  <c r="C93" i="6"/>
  <c r="D93" i="6"/>
  <c r="E93" i="6"/>
  <c r="F93" i="6"/>
  <c r="G93" i="6"/>
  <c r="H93" i="6"/>
  <c r="C94" i="6"/>
  <c r="D94" i="6"/>
  <c r="E94" i="6"/>
  <c r="F94" i="6"/>
  <c r="G94" i="6"/>
  <c r="H94" i="6"/>
  <c r="C95" i="6"/>
  <c r="D95" i="6"/>
  <c r="E95" i="6"/>
  <c r="F95" i="6"/>
  <c r="G95" i="6"/>
  <c r="H95" i="6"/>
  <c r="C96" i="6"/>
  <c r="D96" i="6"/>
  <c r="E96" i="6"/>
  <c r="F96" i="6"/>
  <c r="G96" i="6"/>
  <c r="H96" i="6"/>
  <c r="C97" i="6"/>
  <c r="D97" i="6"/>
  <c r="E97" i="6"/>
  <c r="F97" i="6"/>
  <c r="G97" i="6"/>
  <c r="H97" i="6"/>
  <c r="C98" i="6"/>
  <c r="D98" i="6"/>
  <c r="E98" i="6"/>
  <c r="F98" i="6"/>
  <c r="G98" i="6"/>
  <c r="H98" i="6"/>
  <c r="C99" i="6"/>
  <c r="D99" i="6"/>
  <c r="E99" i="6"/>
  <c r="F99" i="6"/>
  <c r="G99" i="6"/>
  <c r="H99" i="6"/>
  <c r="C100" i="6"/>
  <c r="D100" i="6"/>
  <c r="E100" i="6"/>
  <c r="F100" i="6"/>
  <c r="G100" i="6"/>
  <c r="H100" i="6"/>
  <c r="C101" i="6"/>
  <c r="D101" i="6"/>
  <c r="E101" i="6"/>
  <c r="F101" i="6"/>
  <c r="G101" i="6"/>
  <c r="H101" i="6"/>
  <c r="C102" i="6"/>
  <c r="D102" i="6"/>
  <c r="E102" i="6"/>
  <c r="F102" i="6"/>
  <c r="G102" i="6"/>
  <c r="H102" i="6"/>
  <c r="C103" i="6"/>
  <c r="D103" i="6"/>
  <c r="E103" i="6"/>
  <c r="F103" i="6"/>
  <c r="G103" i="6"/>
  <c r="H103" i="6"/>
  <c r="C104" i="6"/>
  <c r="D104" i="6"/>
  <c r="E104" i="6"/>
  <c r="F104" i="6"/>
  <c r="G104" i="6"/>
  <c r="H104" i="6"/>
  <c r="C105" i="6"/>
  <c r="D105" i="6"/>
  <c r="E105" i="6"/>
  <c r="F105" i="6"/>
  <c r="G105" i="6"/>
  <c r="H105" i="6"/>
  <c r="C106" i="6"/>
  <c r="D106" i="6"/>
  <c r="E106" i="6"/>
  <c r="F106" i="6"/>
  <c r="G106" i="6"/>
  <c r="H106" i="6"/>
  <c r="C107" i="6"/>
  <c r="D107" i="6"/>
  <c r="E107" i="6"/>
  <c r="F107" i="6"/>
  <c r="G107" i="6"/>
  <c r="H107" i="6"/>
  <c r="C108" i="6"/>
  <c r="D108" i="6"/>
  <c r="E108" i="6"/>
  <c r="F108" i="6"/>
  <c r="G108" i="6"/>
  <c r="H108" i="6"/>
  <c r="C109" i="6"/>
  <c r="D109" i="6"/>
  <c r="E109" i="6"/>
  <c r="F109" i="6"/>
  <c r="G109" i="6"/>
  <c r="H109" i="6"/>
  <c r="C110" i="6"/>
  <c r="D110" i="6"/>
  <c r="E110" i="6"/>
  <c r="F110" i="6"/>
  <c r="G110" i="6"/>
  <c r="H110" i="6"/>
  <c r="C111" i="6"/>
  <c r="D111" i="6"/>
  <c r="E111" i="6"/>
  <c r="F111" i="6"/>
  <c r="G111" i="6"/>
  <c r="H111" i="6"/>
  <c r="C112" i="6"/>
  <c r="D112" i="6"/>
  <c r="E112" i="6"/>
  <c r="F112" i="6"/>
  <c r="G112" i="6"/>
  <c r="H112" i="6"/>
  <c r="C113" i="6"/>
  <c r="D113" i="6"/>
  <c r="E113" i="6"/>
  <c r="F113" i="6"/>
  <c r="G113" i="6"/>
  <c r="H113" i="6"/>
  <c r="C114" i="6"/>
  <c r="D114" i="6"/>
  <c r="E114" i="6"/>
  <c r="F114" i="6"/>
  <c r="G114" i="6"/>
  <c r="H114" i="6"/>
  <c r="C115" i="6"/>
  <c r="D115" i="6"/>
  <c r="E115" i="6"/>
  <c r="F115" i="6"/>
  <c r="G115" i="6"/>
  <c r="H115" i="6"/>
  <c r="C116" i="6"/>
  <c r="D116" i="6"/>
  <c r="E116" i="6"/>
  <c r="F116" i="6"/>
  <c r="G116" i="6"/>
  <c r="H116" i="6"/>
  <c r="C117" i="6"/>
  <c r="D117" i="6"/>
  <c r="E117" i="6"/>
  <c r="F117" i="6"/>
  <c r="G117" i="6"/>
  <c r="H117" i="6"/>
  <c r="C118" i="6"/>
  <c r="D118" i="6"/>
  <c r="E118" i="6"/>
  <c r="F118" i="6"/>
  <c r="G118" i="6"/>
  <c r="H118" i="6"/>
  <c r="C119" i="6"/>
  <c r="D119" i="6"/>
  <c r="E119" i="6"/>
  <c r="F119" i="6"/>
  <c r="G119" i="6"/>
  <c r="H119" i="6"/>
  <c r="C120" i="6"/>
  <c r="D120" i="6"/>
  <c r="E120" i="6"/>
  <c r="F120" i="6"/>
  <c r="G120" i="6"/>
  <c r="H120" i="6"/>
  <c r="C121" i="6"/>
  <c r="D121" i="6"/>
  <c r="E121" i="6"/>
  <c r="F121" i="6"/>
  <c r="G121" i="6"/>
  <c r="H121" i="6"/>
  <c r="C122" i="6"/>
  <c r="D122" i="6"/>
  <c r="E122" i="6"/>
  <c r="F122" i="6"/>
  <c r="G122" i="6"/>
  <c r="H122" i="6"/>
  <c r="C123" i="6"/>
  <c r="D123" i="6"/>
  <c r="E123" i="6"/>
  <c r="F123" i="6"/>
  <c r="G123" i="6"/>
  <c r="H123" i="6"/>
  <c r="C124" i="6"/>
  <c r="D124" i="6"/>
  <c r="E124" i="6"/>
  <c r="F124" i="6"/>
  <c r="G124" i="6"/>
  <c r="H124" i="6"/>
  <c r="C125" i="6"/>
  <c r="D125" i="6"/>
  <c r="E125" i="6"/>
  <c r="F125" i="6"/>
  <c r="G125" i="6"/>
  <c r="H125" i="6"/>
  <c r="C126" i="6"/>
  <c r="D126" i="6"/>
  <c r="E126" i="6"/>
  <c r="F126" i="6"/>
  <c r="G126" i="6"/>
  <c r="H126" i="6"/>
  <c r="C127" i="6"/>
  <c r="D127" i="6"/>
  <c r="E127" i="6"/>
  <c r="F127" i="6"/>
  <c r="G127" i="6"/>
  <c r="H127" i="6"/>
  <c r="C128" i="6"/>
  <c r="D128" i="6"/>
  <c r="E128" i="6"/>
  <c r="F128" i="6"/>
  <c r="G128" i="6"/>
  <c r="H128" i="6"/>
  <c r="C129" i="6"/>
  <c r="D129" i="6"/>
  <c r="E129" i="6"/>
  <c r="F129" i="6"/>
  <c r="G129" i="6"/>
  <c r="H129" i="6"/>
  <c r="C130" i="6"/>
  <c r="D130" i="6"/>
  <c r="E130" i="6"/>
  <c r="F130" i="6"/>
  <c r="G130" i="6"/>
  <c r="H130" i="6"/>
  <c r="C131" i="6"/>
  <c r="D131" i="6"/>
  <c r="E131" i="6"/>
  <c r="F131" i="6"/>
  <c r="G131" i="6"/>
  <c r="H131" i="6"/>
  <c r="C132" i="6"/>
  <c r="D132" i="6"/>
  <c r="E132" i="6"/>
  <c r="F132" i="6"/>
  <c r="G132" i="6"/>
  <c r="H132" i="6"/>
  <c r="C133" i="6"/>
  <c r="D133" i="6"/>
  <c r="E133" i="6"/>
  <c r="F133" i="6"/>
  <c r="G133" i="6"/>
  <c r="H133" i="6"/>
  <c r="C134" i="6"/>
  <c r="D134" i="6"/>
  <c r="E134" i="6"/>
  <c r="F134" i="6"/>
  <c r="G134" i="6"/>
  <c r="H134" i="6"/>
  <c r="C135" i="6"/>
  <c r="D135" i="6"/>
  <c r="E135" i="6"/>
  <c r="F135" i="6"/>
  <c r="G135" i="6"/>
  <c r="H135" i="6"/>
  <c r="C136" i="6"/>
  <c r="D136" i="6"/>
  <c r="E136" i="6"/>
  <c r="F136" i="6"/>
  <c r="G136" i="6"/>
  <c r="H136" i="6"/>
  <c r="C137" i="6"/>
  <c r="D137" i="6"/>
  <c r="E137" i="6"/>
  <c r="F137" i="6"/>
  <c r="G137" i="6"/>
  <c r="H137" i="6"/>
  <c r="C138" i="6"/>
  <c r="D138" i="6"/>
  <c r="E138" i="6"/>
  <c r="F138" i="6"/>
  <c r="G138" i="6"/>
  <c r="H138" i="6"/>
  <c r="C139" i="6"/>
  <c r="D139" i="6"/>
  <c r="E139" i="6"/>
  <c r="F139" i="6"/>
  <c r="G139" i="6"/>
  <c r="H139" i="6"/>
  <c r="C140" i="6"/>
  <c r="D140" i="6"/>
  <c r="E140" i="6"/>
  <c r="F140" i="6"/>
  <c r="G140" i="6"/>
  <c r="H140" i="6"/>
  <c r="C141" i="6"/>
  <c r="D141" i="6"/>
  <c r="E141" i="6"/>
  <c r="F141" i="6"/>
  <c r="G141" i="6"/>
  <c r="H141" i="6"/>
  <c r="C142" i="6"/>
  <c r="D142" i="6"/>
  <c r="E142" i="6"/>
  <c r="F142" i="6"/>
  <c r="G142" i="6"/>
  <c r="H142" i="6"/>
  <c r="C143" i="6"/>
  <c r="D143" i="6"/>
  <c r="E143" i="6"/>
  <c r="F143" i="6"/>
  <c r="G143" i="6"/>
  <c r="H143" i="6"/>
  <c r="C144" i="6"/>
  <c r="D144" i="6"/>
  <c r="E144" i="6"/>
  <c r="F144" i="6"/>
  <c r="G144" i="6"/>
  <c r="H144" i="6"/>
  <c r="C145" i="6"/>
  <c r="D145" i="6"/>
  <c r="E145" i="6"/>
  <c r="F145" i="6"/>
  <c r="G145" i="6"/>
  <c r="H145" i="6"/>
  <c r="C146" i="6"/>
  <c r="D146" i="6"/>
  <c r="E146" i="6"/>
  <c r="F146" i="6"/>
  <c r="G146" i="6"/>
  <c r="H146" i="6"/>
  <c r="C147" i="6"/>
  <c r="D147" i="6"/>
  <c r="E147" i="6"/>
  <c r="F147" i="6"/>
  <c r="G147" i="6"/>
  <c r="H147" i="6"/>
  <c r="C148" i="6"/>
  <c r="D148" i="6"/>
  <c r="E148" i="6"/>
  <c r="F148" i="6"/>
  <c r="G148" i="6"/>
  <c r="H148" i="6"/>
  <c r="C149" i="6"/>
  <c r="D149" i="6"/>
  <c r="E149" i="6"/>
  <c r="F149" i="6"/>
  <c r="G149" i="6"/>
  <c r="H149" i="6"/>
  <c r="C150" i="6"/>
  <c r="D150" i="6"/>
  <c r="E150" i="6"/>
  <c r="F150" i="6"/>
  <c r="G150" i="6"/>
  <c r="H150" i="6"/>
  <c r="C151" i="6"/>
  <c r="D151" i="6"/>
  <c r="E151" i="6"/>
  <c r="F151" i="6"/>
  <c r="G151" i="6"/>
  <c r="H151" i="6"/>
  <c r="C152" i="6"/>
  <c r="D152" i="6"/>
  <c r="E152" i="6"/>
  <c r="F152" i="6"/>
  <c r="G152" i="6"/>
  <c r="H152" i="6"/>
  <c r="C153" i="6"/>
  <c r="D153" i="6"/>
  <c r="E153" i="6"/>
  <c r="F153" i="6"/>
  <c r="G153" i="6"/>
  <c r="H153" i="6"/>
  <c r="C154" i="6"/>
  <c r="D154" i="6"/>
  <c r="E154" i="6"/>
  <c r="F154" i="6"/>
  <c r="G154" i="6"/>
  <c r="H154" i="6"/>
  <c r="C155" i="6"/>
  <c r="D155" i="6"/>
  <c r="E155" i="6"/>
  <c r="F155" i="6"/>
  <c r="G155" i="6"/>
  <c r="H155" i="6"/>
  <c r="C156" i="6"/>
  <c r="D156" i="6"/>
  <c r="E156" i="6"/>
  <c r="F156" i="6"/>
  <c r="G156" i="6"/>
  <c r="H156" i="6"/>
  <c r="C157" i="6"/>
  <c r="D157" i="6"/>
  <c r="E157" i="6"/>
  <c r="F157" i="6"/>
  <c r="G157" i="6"/>
  <c r="H157" i="6"/>
  <c r="C158" i="6"/>
  <c r="D158" i="6"/>
  <c r="E158" i="6"/>
  <c r="F158" i="6"/>
  <c r="G158" i="6"/>
  <c r="H158" i="6"/>
  <c r="C159" i="6"/>
  <c r="D159" i="6"/>
  <c r="E159" i="6"/>
  <c r="F159" i="6"/>
  <c r="G159" i="6"/>
  <c r="H159" i="6"/>
  <c r="C160" i="6"/>
  <c r="D160" i="6"/>
  <c r="E160" i="6"/>
  <c r="F160" i="6"/>
  <c r="G160" i="6"/>
  <c r="H160" i="6"/>
  <c r="C161" i="6"/>
  <c r="D161" i="6"/>
  <c r="E161" i="6"/>
  <c r="F161" i="6"/>
  <c r="G161" i="6"/>
  <c r="H161" i="6"/>
  <c r="C162" i="6"/>
  <c r="D162" i="6"/>
  <c r="E162" i="6"/>
  <c r="F162" i="6"/>
  <c r="G162" i="6"/>
  <c r="H162" i="6"/>
  <c r="C163" i="6"/>
  <c r="D163" i="6"/>
  <c r="E163" i="6"/>
  <c r="F163" i="6"/>
  <c r="G163" i="6"/>
  <c r="H163" i="6"/>
  <c r="C164" i="6"/>
  <c r="D164" i="6"/>
  <c r="E164" i="6"/>
  <c r="F164" i="6"/>
  <c r="G164" i="6"/>
  <c r="H164" i="6"/>
  <c r="C165" i="6"/>
  <c r="D165" i="6"/>
  <c r="E165" i="6"/>
  <c r="F165" i="6"/>
  <c r="G165" i="6"/>
  <c r="H165" i="6"/>
  <c r="C166" i="6"/>
  <c r="D166" i="6"/>
  <c r="E166" i="6"/>
  <c r="F166" i="6"/>
  <c r="G166" i="6"/>
  <c r="H166" i="6"/>
  <c r="C167" i="6"/>
  <c r="D167" i="6"/>
  <c r="E167" i="6"/>
  <c r="F167" i="6"/>
  <c r="G167" i="6"/>
  <c r="H167" i="6"/>
  <c r="C168" i="6"/>
  <c r="D168" i="6"/>
  <c r="E168" i="6"/>
  <c r="F168" i="6"/>
  <c r="G168" i="6"/>
  <c r="H168" i="6"/>
  <c r="C169" i="6"/>
  <c r="D169" i="6"/>
  <c r="E169" i="6"/>
  <c r="F169" i="6"/>
  <c r="G169" i="6"/>
  <c r="H169" i="6"/>
  <c r="C170" i="6"/>
  <c r="D170" i="6"/>
  <c r="E170" i="6"/>
  <c r="F170" i="6"/>
  <c r="G170" i="6"/>
  <c r="H170" i="6"/>
  <c r="C171" i="6"/>
  <c r="D171" i="6"/>
  <c r="E171" i="6"/>
  <c r="F171" i="6"/>
  <c r="G171" i="6"/>
  <c r="H171" i="6"/>
  <c r="C172" i="6"/>
  <c r="D172" i="6"/>
  <c r="E172" i="6"/>
  <c r="F172" i="6"/>
  <c r="G172" i="6"/>
  <c r="H172" i="6"/>
  <c r="C173" i="6"/>
  <c r="D173" i="6"/>
  <c r="E173" i="6"/>
  <c r="F173" i="6"/>
  <c r="G173" i="6"/>
  <c r="H173" i="6"/>
  <c r="C174" i="6"/>
  <c r="D174" i="6"/>
  <c r="E174" i="6"/>
  <c r="F174" i="6"/>
  <c r="G174" i="6"/>
  <c r="H174" i="6"/>
  <c r="C175" i="6"/>
  <c r="D175" i="6"/>
  <c r="E175" i="6"/>
  <c r="F175" i="6"/>
  <c r="G175" i="6"/>
  <c r="H175" i="6"/>
  <c r="C176" i="6"/>
  <c r="D176" i="6"/>
  <c r="E176" i="6"/>
  <c r="F176" i="6"/>
  <c r="G176" i="6"/>
  <c r="H176" i="6"/>
  <c r="C177" i="6"/>
  <c r="D177" i="6"/>
  <c r="E177" i="6"/>
  <c r="F177" i="6"/>
  <c r="G177" i="6"/>
  <c r="H177" i="6"/>
  <c r="C178" i="6"/>
  <c r="D178" i="6"/>
  <c r="E178" i="6"/>
  <c r="F178" i="6"/>
  <c r="G178" i="6"/>
  <c r="H178" i="6"/>
  <c r="C179" i="6"/>
  <c r="D179" i="6"/>
  <c r="E179" i="6"/>
  <c r="F179" i="6"/>
  <c r="G179" i="6"/>
  <c r="H179" i="6"/>
  <c r="C180" i="6"/>
  <c r="D180" i="6"/>
  <c r="E180" i="6"/>
  <c r="F180" i="6"/>
  <c r="G180" i="6"/>
  <c r="H180" i="6"/>
  <c r="C181" i="6"/>
  <c r="D181" i="6"/>
  <c r="E181" i="6"/>
  <c r="F181" i="6"/>
  <c r="G181" i="6"/>
  <c r="H181" i="6"/>
  <c r="C182" i="6"/>
  <c r="D182" i="6"/>
  <c r="E182" i="6"/>
  <c r="F182" i="6"/>
  <c r="G182" i="6"/>
  <c r="H182" i="6"/>
  <c r="C183" i="6"/>
  <c r="D183" i="6"/>
  <c r="E183" i="6"/>
  <c r="F183" i="6"/>
  <c r="G183" i="6"/>
  <c r="H183" i="6"/>
  <c r="C184" i="6"/>
  <c r="D184" i="6"/>
  <c r="E184" i="6"/>
  <c r="F184" i="6"/>
  <c r="G184" i="6"/>
  <c r="H184" i="6"/>
  <c r="C185" i="6"/>
  <c r="D185" i="6"/>
  <c r="E185" i="6"/>
  <c r="F185" i="6"/>
  <c r="G185" i="6"/>
  <c r="H185" i="6"/>
  <c r="C186" i="6"/>
  <c r="D186" i="6"/>
  <c r="E186" i="6"/>
  <c r="F186" i="6"/>
  <c r="G186" i="6"/>
  <c r="H186" i="6"/>
  <c r="C187" i="6"/>
  <c r="D187" i="6"/>
  <c r="E187" i="6"/>
  <c r="F187" i="6"/>
  <c r="G187" i="6"/>
  <c r="H187" i="6"/>
  <c r="C188" i="6"/>
  <c r="D188" i="6"/>
  <c r="E188" i="6"/>
  <c r="F188" i="6"/>
  <c r="G188" i="6"/>
  <c r="H188" i="6"/>
  <c r="C189" i="6"/>
  <c r="D189" i="6"/>
  <c r="E189" i="6"/>
  <c r="F189" i="6"/>
  <c r="G189" i="6"/>
  <c r="H189" i="6"/>
  <c r="C190" i="6"/>
  <c r="D190" i="6"/>
  <c r="E190" i="6"/>
  <c r="F190" i="6"/>
  <c r="G190" i="6"/>
  <c r="H190" i="6"/>
  <c r="C191" i="6"/>
  <c r="D191" i="6"/>
  <c r="E191" i="6"/>
  <c r="F191" i="6"/>
  <c r="G191" i="6"/>
  <c r="H191" i="6"/>
  <c r="C192" i="6"/>
  <c r="D192" i="6"/>
  <c r="E192" i="6"/>
  <c r="F192" i="6"/>
  <c r="G192" i="6"/>
  <c r="H192" i="6"/>
  <c r="C193" i="6"/>
  <c r="D193" i="6"/>
  <c r="E193" i="6"/>
  <c r="F193" i="6"/>
  <c r="G193" i="6"/>
  <c r="H193" i="6"/>
  <c r="C194" i="6"/>
  <c r="D194" i="6"/>
  <c r="E194" i="6"/>
  <c r="F194" i="6"/>
  <c r="G194" i="6"/>
  <c r="H194" i="6"/>
  <c r="C195" i="6"/>
  <c r="D195" i="6"/>
  <c r="E195" i="6"/>
  <c r="F195" i="6"/>
  <c r="G195" i="6"/>
  <c r="H195" i="6"/>
  <c r="C196" i="6"/>
  <c r="D196" i="6"/>
  <c r="E196" i="6"/>
  <c r="F196" i="6"/>
  <c r="G196" i="6"/>
  <c r="H196" i="6"/>
  <c r="C197" i="6"/>
  <c r="D197" i="6"/>
  <c r="E197" i="6"/>
  <c r="F197" i="6"/>
  <c r="G197" i="6"/>
  <c r="H197" i="6"/>
  <c r="C198" i="6"/>
  <c r="D198" i="6"/>
  <c r="E198" i="6"/>
  <c r="F198" i="6"/>
  <c r="G198" i="6"/>
  <c r="H198" i="6"/>
  <c r="C199" i="6"/>
  <c r="D199" i="6"/>
  <c r="E199" i="6"/>
  <c r="F199" i="6"/>
  <c r="G199" i="6"/>
  <c r="H199" i="6"/>
  <c r="C200" i="6"/>
  <c r="D200" i="6"/>
  <c r="E200" i="6"/>
  <c r="F200" i="6"/>
  <c r="G200" i="6"/>
  <c r="H200" i="6"/>
  <c r="C201" i="6"/>
  <c r="D201" i="6"/>
  <c r="E201" i="6"/>
  <c r="F201" i="6"/>
  <c r="G201" i="6"/>
  <c r="H201" i="6"/>
  <c r="C202" i="6"/>
  <c r="D202" i="6"/>
  <c r="E202" i="6"/>
  <c r="F202" i="6"/>
  <c r="G202" i="6"/>
  <c r="H202" i="6"/>
  <c r="C203" i="6"/>
  <c r="D203" i="6"/>
  <c r="E203" i="6"/>
  <c r="F203" i="6"/>
  <c r="G203" i="6"/>
  <c r="H203" i="6"/>
  <c r="C204" i="6"/>
  <c r="D204" i="6"/>
  <c r="E204" i="6"/>
  <c r="F204" i="6"/>
  <c r="G204" i="6"/>
  <c r="H204" i="6"/>
  <c r="C205" i="6"/>
  <c r="D205" i="6"/>
  <c r="E205" i="6"/>
  <c r="F205" i="6"/>
  <c r="G205" i="6"/>
  <c r="H205" i="6"/>
  <c r="C206" i="6"/>
  <c r="D206" i="6"/>
  <c r="E206" i="6"/>
  <c r="F206" i="6"/>
  <c r="G206" i="6"/>
  <c r="H206" i="6"/>
  <c r="C207" i="6"/>
  <c r="D207" i="6"/>
  <c r="E207" i="6"/>
  <c r="F207" i="6"/>
  <c r="G207" i="6"/>
  <c r="H207" i="6"/>
  <c r="C208" i="6"/>
  <c r="D208" i="6"/>
  <c r="E208" i="6"/>
  <c r="F208" i="6"/>
  <c r="G208" i="6"/>
  <c r="H208" i="6"/>
  <c r="C209" i="6"/>
  <c r="D209" i="6"/>
  <c r="E209" i="6"/>
  <c r="F209" i="6"/>
  <c r="G209" i="6"/>
  <c r="H209" i="6"/>
  <c r="C210" i="6"/>
  <c r="D210" i="6"/>
  <c r="E210" i="6"/>
  <c r="F210" i="6"/>
  <c r="G210" i="6"/>
  <c r="H210" i="6"/>
  <c r="C211" i="6"/>
  <c r="D211" i="6"/>
  <c r="E211" i="6"/>
  <c r="F211" i="6"/>
  <c r="G211" i="6"/>
  <c r="H211" i="6"/>
  <c r="C212" i="6"/>
  <c r="D212" i="6"/>
  <c r="E212" i="6"/>
  <c r="F212" i="6"/>
  <c r="G212" i="6"/>
  <c r="H212" i="6"/>
  <c r="C213" i="6"/>
  <c r="D213" i="6"/>
  <c r="E213" i="6"/>
  <c r="F213" i="6"/>
  <c r="G213" i="6"/>
  <c r="H213" i="6"/>
  <c r="C214" i="6"/>
  <c r="D214" i="6"/>
  <c r="E214" i="6"/>
  <c r="F214" i="6"/>
  <c r="G214" i="6"/>
  <c r="H214" i="6"/>
  <c r="C215" i="6"/>
  <c r="D215" i="6"/>
  <c r="E215" i="6"/>
  <c r="F215" i="6"/>
  <c r="G215" i="6"/>
  <c r="H215" i="6"/>
  <c r="C216" i="6"/>
  <c r="D216" i="6"/>
  <c r="E216" i="6"/>
  <c r="F216" i="6"/>
  <c r="G216" i="6"/>
  <c r="H216" i="6"/>
  <c r="C217" i="6"/>
  <c r="D217" i="6"/>
  <c r="E217" i="6"/>
  <c r="F217" i="6"/>
  <c r="G217" i="6"/>
  <c r="H217" i="6"/>
  <c r="C218" i="6"/>
  <c r="D218" i="6"/>
  <c r="E218" i="6"/>
  <c r="F218" i="6"/>
  <c r="G218" i="6"/>
  <c r="H218" i="6"/>
  <c r="C219" i="6"/>
  <c r="D219" i="6"/>
  <c r="E219" i="6"/>
  <c r="F219" i="6"/>
  <c r="G219" i="6"/>
  <c r="H219" i="6"/>
  <c r="C220" i="6"/>
  <c r="D220" i="6"/>
  <c r="E220" i="6"/>
  <c r="F220" i="6"/>
  <c r="G220" i="6"/>
  <c r="H220" i="6"/>
  <c r="C221" i="6"/>
  <c r="D221" i="6"/>
  <c r="E221" i="6"/>
  <c r="F221" i="6"/>
  <c r="G221" i="6"/>
  <c r="H221" i="6"/>
  <c r="C222" i="6"/>
  <c r="D222" i="6"/>
  <c r="E222" i="6"/>
  <c r="F222" i="6"/>
  <c r="G222" i="6"/>
  <c r="H222" i="6"/>
  <c r="H92" i="6"/>
  <c r="G92" i="6"/>
  <c r="F92" i="6"/>
  <c r="E92" i="6"/>
  <c r="D92" i="6"/>
  <c r="C92" i="6"/>
  <c r="H91" i="6"/>
  <c r="G91" i="6"/>
  <c r="F91" i="6"/>
  <c r="E91" i="6"/>
  <c r="D91" i="6"/>
  <c r="C91" i="6"/>
  <c r="H90" i="6"/>
  <c r="G90" i="6"/>
  <c r="F90" i="6"/>
  <c r="E90" i="6"/>
  <c r="D90" i="6"/>
  <c r="C90" i="6"/>
  <c r="H89" i="6"/>
  <c r="G89" i="6"/>
  <c r="F89" i="6"/>
  <c r="E89" i="6"/>
  <c r="D89" i="6"/>
  <c r="C89" i="6"/>
  <c r="H88" i="6"/>
  <c r="G88" i="6"/>
  <c r="F88" i="6"/>
  <c r="E88" i="6"/>
  <c r="D88" i="6"/>
  <c r="C88" i="6"/>
  <c r="H87" i="6"/>
  <c r="G87" i="6"/>
  <c r="F87" i="6"/>
  <c r="E87" i="6"/>
  <c r="D87" i="6"/>
  <c r="C87" i="6"/>
  <c r="H86" i="6"/>
  <c r="G86" i="6"/>
  <c r="F86" i="6"/>
  <c r="E86" i="6"/>
  <c r="D86" i="6"/>
  <c r="C86" i="6"/>
  <c r="H85" i="6"/>
  <c r="G85" i="6"/>
  <c r="F85" i="6"/>
  <c r="E85" i="6"/>
  <c r="D85" i="6"/>
  <c r="C85" i="6"/>
  <c r="H84" i="6"/>
  <c r="G84" i="6"/>
  <c r="F84" i="6"/>
  <c r="E84" i="6"/>
  <c r="D84" i="6"/>
  <c r="C84" i="6"/>
  <c r="H83" i="6"/>
  <c r="G83" i="6"/>
  <c r="F83" i="6"/>
  <c r="E83" i="6"/>
  <c r="D83" i="6"/>
  <c r="C83" i="6"/>
  <c r="H82" i="6"/>
  <c r="G82" i="6"/>
  <c r="F82" i="6"/>
  <c r="E82" i="6"/>
  <c r="D82" i="6"/>
  <c r="C82" i="6"/>
  <c r="H81" i="6"/>
  <c r="G81" i="6"/>
  <c r="F81" i="6"/>
  <c r="E81" i="6"/>
  <c r="D81" i="6"/>
  <c r="C81" i="6"/>
  <c r="H80" i="6"/>
  <c r="G80" i="6"/>
  <c r="F80" i="6"/>
  <c r="E80" i="6"/>
  <c r="D80" i="6"/>
  <c r="C80" i="6"/>
  <c r="H79" i="6"/>
  <c r="G79" i="6"/>
  <c r="F79" i="6"/>
  <c r="E79" i="6"/>
  <c r="D79" i="6"/>
  <c r="C79" i="6"/>
  <c r="H78" i="6"/>
  <c r="G78" i="6"/>
  <c r="F78" i="6"/>
  <c r="E78" i="6"/>
  <c r="D78" i="6"/>
  <c r="C78" i="6"/>
  <c r="H77" i="6"/>
  <c r="G77" i="6"/>
  <c r="F77" i="6"/>
  <c r="E77" i="6"/>
  <c r="D77" i="6"/>
  <c r="C77" i="6"/>
  <c r="H76" i="6"/>
  <c r="G76" i="6"/>
  <c r="F76" i="6"/>
  <c r="E76" i="6"/>
  <c r="D76" i="6"/>
  <c r="C76" i="6"/>
  <c r="H75" i="6"/>
  <c r="G75" i="6"/>
  <c r="F75" i="6"/>
  <c r="E75" i="6"/>
  <c r="D75" i="6"/>
  <c r="C75" i="6"/>
  <c r="H74" i="6"/>
  <c r="G74" i="6"/>
  <c r="F74" i="6"/>
  <c r="E74" i="6"/>
  <c r="D74" i="6"/>
  <c r="C74" i="6"/>
  <c r="H73" i="6"/>
  <c r="G73" i="6"/>
  <c r="F73" i="6"/>
  <c r="E73" i="6"/>
  <c r="D73" i="6"/>
  <c r="C73" i="6"/>
  <c r="H72" i="6"/>
  <c r="G72" i="6"/>
  <c r="F72" i="6"/>
  <c r="E72" i="6"/>
  <c r="D72" i="6"/>
  <c r="C72" i="6"/>
  <c r="H71" i="6"/>
  <c r="G71" i="6"/>
  <c r="F71" i="6"/>
  <c r="E71" i="6"/>
  <c r="D71" i="6"/>
  <c r="C71" i="6"/>
  <c r="H70" i="6"/>
  <c r="G70" i="6"/>
  <c r="F70" i="6"/>
  <c r="E70" i="6"/>
  <c r="D70" i="6"/>
  <c r="C70" i="6"/>
  <c r="H69" i="6"/>
  <c r="G69" i="6"/>
  <c r="F69" i="6"/>
  <c r="E69" i="6"/>
  <c r="D69" i="6"/>
  <c r="C69" i="6"/>
  <c r="H68" i="6"/>
  <c r="G68" i="6"/>
  <c r="F68" i="6"/>
  <c r="E68" i="6"/>
  <c r="D68" i="6"/>
  <c r="C68" i="6"/>
  <c r="H67" i="6"/>
  <c r="G67" i="6"/>
  <c r="F67" i="6"/>
  <c r="E67" i="6"/>
  <c r="D67" i="6"/>
  <c r="C67" i="6"/>
  <c r="H66" i="6"/>
  <c r="G66" i="6"/>
  <c r="F66" i="6"/>
  <c r="E66" i="6"/>
  <c r="D66" i="6"/>
  <c r="C66" i="6"/>
  <c r="H65" i="6"/>
  <c r="G65" i="6"/>
  <c r="F65" i="6"/>
  <c r="E65" i="6"/>
  <c r="D65" i="6"/>
  <c r="C65" i="6"/>
  <c r="H64" i="6"/>
  <c r="G64" i="6"/>
  <c r="F64" i="6"/>
  <c r="E64" i="6"/>
  <c r="D64" i="6"/>
  <c r="C64" i="6"/>
  <c r="H63" i="6"/>
  <c r="G63" i="6"/>
  <c r="F63" i="6"/>
  <c r="E63" i="6"/>
  <c r="D63" i="6"/>
  <c r="C63" i="6"/>
  <c r="H62" i="6"/>
  <c r="G62" i="6"/>
  <c r="F62" i="6"/>
  <c r="E62" i="6"/>
  <c r="D62" i="6"/>
  <c r="C62" i="6"/>
  <c r="H61" i="6"/>
  <c r="G61" i="6"/>
  <c r="F61" i="6"/>
  <c r="E61" i="6"/>
  <c r="D61" i="6"/>
  <c r="C61" i="6"/>
  <c r="H60" i="6"/>
  <c r="G60" i="6"/>
  <c r="F60" i="6"/>
  <c r="E60" i="6"/>
  <c r="D60" i="6"/>
  <c r="C60" i="6"/>
  <c r="H59" i="6"/>
  <c r="G59" i="6"/>
  <c r="F59" i="6"/>
  <c r="E59" i="6"/>
  <c r="D59" i="6"/>
  <c r="C59" i="6"/>
  <c r="H58" i="6"/>
  <c r="G58" i="6"/>
  <c r="F58" i="6"/>
  <c r="E58" i="6"/>
  <c r="D58" i="6"/>
  <c r="C58" i="6"/>
  <c r="H57" i="6"/>
  <c r="G57" i="6"/>
  <c r="F57" i="6"/>
  <c r="E57" i="6"/>
  <c r="D57" i="6"/>
  <c r="C57" i="6"/>
  <c r="H56" i="6"/>
  <c r="G56" i="6"/>
  <c r="F56" i="6"/>
  <c r="E56" i="6"/>
  <c r="D56" i="6"/>
  <c r="C56" i="6"/>
  <c r="H55" i="6"/>
  <c r="G55" i="6"/>
  <c r="F55" i="6"/>
  <c r="E55" i="6"/>
  <c r="D55" i="6"/>
  <c r="C55" i="6"/>
  <c r="H54" i="6"/>
  <c r="G54" i="6"/>
  <c r="F54" i="6"/>
  <c r="E54" i="6"/>
  <c r="D54" i="6"/>
  <c r="C54" i="6"/>
  <c r="H53" i="6"/>
  <c r="G53" i="6"/>
  <c r="F53" i="6"/>
  <c r="E53" i="6"/>
  <c r="D53" i="6"/>
  <c r="C53" i="6"/>
  <c r="H52" i="6"/>
  <c r="G52" i="6"/>
  <c r="F52" i="6"/>
  <c r="E52" i="6"/>
  <c r="D52" i="6"/>
  <c r="C52" i="6"/>
  <c r="H51" i="6"/>
  <c r="G51" i="6"/>
  <c r="F51" i="6"/>
  <c r="E51" i="6"/>
  <c r="D51" i="6"/>
  <c r="C51" i="6"/>
  <c r="H50" i="6"/>
  <c r="G50" i="6"/>
  <c r="F50" i="6"/>
  <c r="E50" i="6"/>
  <c r="D50" i="6"/>
  <c r="C50" i="6"/>
  <c r="H49" i="6"/>
  <c r="G49" i="6"/>
  <c r="F49" i="6"/>
  <c r="E49" i="6"/>
  <c r="D49" i="6"/>
  <c r="C49" i="6"/>
  <c r="H48" i="6"/>
  <c r="G48" i="6"/>
  <c r="F48" i="6"/>
  <c r="E48" i="6"/>
  <c r="D48" i="6"/>
  <c r="C48" i="6"/>
  <c r="H47" i="6"/>
  <c r="G47" i="6"/>
  <c r="F47" i="6"/>
  <c r="E47" i="6"/>
  <c r="D47" i="6"/>
  <c r="C47" i="6"/>
  <c r="H46" i="6"/>
  <c r="G46" i="6"/>
  <c r="F46" i="6"/>
  <c r="E46" i="6"/>
  <c r="D46" i="6"/>
  <c r="C46" i="6"/>
  <c r="H45" i="6"/>
  <c r="G45" i="6"/>
  <c r="F45" i="6"/>
  <c r="E45" i="6"/>
  <c r="D45" i="6"/>
  <c r="C45" i="6"/>
  <c r="H44" i="6"/>
  <c r="G44" i="6"/>
  <c r="F44" i="6"/>
  <c r="E44" i="6"/>
  <c r="D44" i="6"/>
  <c r="C44" i="6"/>
  <c r="H43" i="6"/>
  <c r="G43" i="6"/>
  <c r="F43" i="6"/>
  <c r="E43" i="6"/>
  <c r="D43" i="6"/>
  <c r="C43" i="6"/>
  <c r="H42" i="6"/>
  <c r="G42" i="6"/>
  <c r="F42" i="6"/>
  <c r="E42" i="6"/>
  <c r="D42" i="6"/>
  <c r="C42" i="6"/>
  <c r="H41" i="6"/>
  <c r="G41" i="6"/>
  <c r="F41" i="6"/>
  <c r="E41" i="6"/>
  <c r="D41" i="6"/>
  <c r="C41" i="6"/>
  <c r="H40" i="6"/>
  <c r="G40" i="6"/>
  <c r="F40" i="6"/>
  <c r="E40" i="6"/>
  <c r="D40" i="6"/>
  <c r="C40" i="6"/>
  <c r="H39" i="6"/>
  <c r="G39" i="6"/>
  <c r="F39" i="6"/>
  <c r="E39" i="6"/>
  <c r="D39" i="6"/>
  <c r="C39" i="6"/>
  <c r="H38" i="6"/>
  <c r="G38" i="6"/>
  <c r="F38" i="6"/>
  <c r="E38" i="6"/>
  <c r="D38" i="6"/>
  <c r="C38" i="6"/>
  <c r="H37" i="6"/>
  <c r="G37" i="6"/>
  <c r="F37" i="6"/>
  <c r="E37" i="6"/>
  <c r="D37" i="6"/>
  <c r="C37" i="6"/>
  <c r="H36" i="6"/>
  <c r="G36" i="6"/>
  <c r="F36" i="6"/>
  <c r="E36" i="6"/>
  <c r="D36" i="6"/>
  <c r="C36" i="6"/>
  <c r="H35" i="6"/>
  <c r="G35" i="6"/>
  <c r="F35" i="6"/>
  <c r="E35" i="6"/>
  <c r="D35" i="6"/>
  <c r="C35" i="6"/>
  <c r="H34" i="6"/>
  <c r="G34" i="6"/>
  <c r="F34" i="6"/>
  <c r="E34" i="6"/>
  <c r="D34" i="6"/>
  <c r="C34" i="6"/>
  <c r="H33" i="6"/>
  <c r="G33" i="6"/>
  <c r="F33" i="6"/>
  <c r="E33" i="6"/>
  <c r="D33" i="6"/>
  <c r="C33" i="6"/>
  <c r="H32" i="6"/>
  <c r="G32" i="6"/>
  <c r="F32" i="6"/>
  <c r="E32" i="6"/>
  <c r="D32" i="6"/>
  <c r="C32" i="6"/>
  <c r="H31" i="6"/>
  <c r="G31" i="6"/>
  <c r="F31" i="6"/>
  <c r="E31" i="6"/>
  <c r="D31" i="6"/>
  <c r="C31" i="6"/>
  <c r="H30" i="6"/>
  <c r="G30" i="6"/>
  <c r="F30" i="6"/>
  <c r="E30" i="6"/>
  <c r="D30" i="6"/>
  <c r="C30" i="6"/>
  <c r="H29" i="6"/>
  <c r="G29" i="6"/>
  <c r="F29" i="6"/>
  <c r="E29" i="6"/>
  <c r="D29" i="6"/>
  <c r="C29" i="6"/>
  <c r="H28" i="6"/>
  <c r="G28" i="6"/>
  <c r="F28" i="6"/>
  <c r="E28" i="6"/>
  <c r="D28" i="6"/>
  <c r="C28" i="6"/>
  <c r="H27" i="6"/>
  <c r="G27" i="6"/>
  <c r="F27" i="6"/>
  <c r="E27" i="6"/>
  <c r="D27" i="6"/>
  <c r="C27" i="6"/>
  <c r="H26" i="6"/>
  <c r="G26" i="6"/>
  <c r="F26" i="6"/>
  <c r="E26" i="6"/>
  <c r="D26" i="6"/>
  <c r="C26" i="6"/>
  <c r="H25" i="6"/>
  <c r="G25" i="6"/>
  <c r="F25" i="6"/>
  <c r="E25" i="6"/>
  <c r="D25" i="6"/>
  <c r="C25" i="6"/>
  <c r="H24" i="6"/>
  <c r="G24" i="6"/>
  <c r="F24" i="6"/>
  <c r="E24" i="6"/>
  <c r="D24" i="6"/>
  <c r="C24" i="6"/>
  <c r="H23" i="6"/>
  <c r="G23" i="6"/>
  <c r="F23" i="6"/>
  <c r="E23" i="6"/>
  <c r="D23" i="6"/>
  <c r="C23" i="6"/>
  <c r="H22" i="6"/>
  <c r="G22" i="6"/>
  <c r="F22" i="6"/>
  <c r="E22" i="6"/>
  <c r="D22" i="6"/>
  <c r="C22" i="6"/>
  <c r="H21" i="6"/>
  <c r="G21" i="6"/>
  <c r="F21" i="6"/>
  <c r="E21" i="6"/>
  <c r="D21" i="6"/>
  <c r="C21" i="6"/>
  <c r="H20" i="6"/>
  <c r="G20" i="6"/>
  <c r="F20" i="6"/>
  <c r="E20" i="6"/>
  <c r="D20" i="6"/>
  <c r="C20" i="6"/>
  <c r="H19" i="6"/>
  <c r="G19" i="6"/>
  <c r="F19" i="6"/>
  <c r="E19" i="6"/>
  <c r="D19" i="6"/>
  <c r="C19" i="6"/>
  <c r="H18" i="6"/>
  <c r="G18" i="6"/>
  <c r="F18" i="6"/>
  <c r="E18" i="6"/>
  <c r="D18" i="6"/>
  <c r="C18" i="6"/>
  <c r="H17" i="6"/>
  <c r="G17" i="6"/>
  <c r="F17" i="6"/>
  <c r="E17" i="6"/>
  <c r="D17" i="6"/>
  <c r="C17" i="6"/>
  <c r="H16" i="6"/>
  <c r="G16" i="6"/>
  <c r="F16" i="6"/>
  <c r="E16" i="6"/>
  <c r="D16" i="6"/>
  <c r="C16" i="6"/>
  <c r="H15" i="6"/>
  <c r="G15" i="6"/>
  <c r="F15" i="6"/>
  <c r="E15" i="6"/>
  <c r="D15" i="6"/>
  <c r="C15" i="6"/>
  <c r="H14" i="6"/>
  <c r="G14" i="6"/>
  <c r="F14" i="6"/>
  <c r="E14" i="6"/>
  <c r="D14" i="6"/>
  <c r="C14" i="6"/>
  <c r="H13" i="6"/>
  <c r="G13" i="6"/>
  <c r="F13" i="6"/>
  <c r="E13" i="6"/>
  <c r="D13" i="6"/>
  <c r="C13" i="6"/>
  <c r="H12" i="6"/>
  <c r="G12" i="6"/>
  <c r="F12" i="6"/>
  <c r="E12" i="6"/>
  <c r="D12" i="6"/>
  <c r="C12" i="6"/>
  <c r="H11" i="6"/>
  <c r="G11" i="6"/>
  <c r="F11" i="6"/>
  <c r="E11" i="6"/>
  <c r="D11" i="6"/>
  <c r="C11" i="6"/>
  <c r="H10" i="6"/>
  <c r="G10" i="6"/>
  <c r="F10" i="6"/>
  <c r="E10" i="6"/>
  <c r="D10" i="6"/>
  <c r="C10" i="6"/>
  <c r="H9" i="6"/>
  <c r="G9" i="6"/>
  <c r="F9" i="6"/>
  <c r="E9" i="6"/>
  <c r="D9" i="6"/>
  <c r="C9" i="6"/>
  <c r="H8" i="6"/>
  <c r="G8" i="6"/>
  <c r="F8" i="6"/>
  <c r="E8" i="6"/>
  <c r="D8" i="6"/>
  <c r="C8" i="6"/>
  <c r="H7" i="6"/>
  <c r="G7" i="6"/>
  <c r="F7" i="6"/>
  <c r="E7" i="6"/>
  <c r="D7" i="6"/>
  <c r="C7" i="6"/>
  <c r="H6" i="6"/>
  <c r="G6" i="6"/>
  <c r="F6" i="6"/>
  <c r="E6" i="6"/>
  <c r="D6" i="6"/>
  <c r="C6" i="6"/>
  <c r="H5" i="6"/>
  <c r="G5" i="6"/>
  <c r="F5" i="6"/>
  <c r="E5" i="6"/>
  <c r="D5" i="6"/>
  <c r="C5" i="6"/>
  <c r="H4" i="6"/>
  <c r="G4" i="6"/>
  <c r="F4" i="6"/>
  <c r="E4" i="6"/>
  <c r="D4" i="6"/>
  <c r="C4" i="6"/>
  <c r="H3" i="6"/>
  <c r="G3" i="6"/>
  <c r="F3" i="6"/>
  <c r="E3" i="6"/>
  <c r="D3" i="6"/>
  <c r="C3" i="6"/>
  <c r="H2" i="6"/>
  <c r="G2" i="6"/>
  <c r="F2" i="6"/>
  <c r="E2" i="6"/>
  <c r="D2" i="6"/>
  <c r="C2" i="6"/>
  <c r="L2" i="6"/>
  <c r="H11" i="8"/>
  <c r="I8" i="8"/>
  <c r="I10" i="8"/>
  <c r="C4" i="8"/>
  <c r="D34" i="8"/>
  <c r="D32" i="8"/>
  <c r="D26" i="8"/>
  <c r="D28" i="8"/>
  <c r="C20" i="8"/>
  <c r="C2" i="8" s="1"/>
  <c r="C5" i="8" s="1"/>
  <c r="D2" i="8"/>
  <c r="D4" i="8"/>
  <c r="D8" i="8"/>
  <c r="D22" i="8"/>
  <c r="D20" i="8"/>
  <c r="D16" i="8"/>
  <c r="D14" i="8"/>
  <c r="D10" i="8"/>
  <c r="D34" i="7"/>
  <c r="D32" i="7"/>
  <c r="D28" i="7"/>
  <c r="D26" i="7"/>
  <c r="C10" i="5"/>
  <c r="D10" i="5"/>
  <c r="E10" i="5"/>
  <c r="F10" i="5"/>
  <c r="H10" i="5"/>
  <c r="D22" i="7"/>
  <c r="D20" i="7"/>
  <c r="D16" i="7"/>
  <c r="D14" i="7"/>
  <c r="D10" i="7"/>
  <c r="D8" i="7"/>
  <c r="D2" i="7"/>
  <c r="D4" i="7"/>
  <c r="D47" i="4"/>
  <c r="D45" i="4"/>
  <c r="D51" i="4"/>
  <c r="D41" i="4"/>
  <c r="D39" i="4"/>
  <c r="D53" i="4"/>
  <c r="D35" i="4"/>
  <c r="D33" i="4"/>
  <c r="H7" i="5"/>
  <c r="F7" i="5"/>
  <c r="E7" i="5"/>
  <c r="D7" i="5"/>
  <c r="F4" i="5"/>
  <c r="E4" i="5"/>
  <c r="D4" i="5"/>
  <c r="C7" i="5"/>
  <c r="C30" i="4"/>
  <c r="D21" i="4"/>
  <c r="D24" i="4"/>
  <c r="C24" i="4"/>
  <c r="C18" i="4"/>
  <c r="D18" i="4" s="1"/>
  <c r="H4" i="5"/>
  <c r="C4" i="5"/>
  <c r="D12" i="4"/>
  <c r="D6" i="4"/>
  <c r="C12" i="4"/>
  <c r="C6" i="4"/>
  <c r="J221" i="6" l="1"/>
  <c r="J207" i="6"/>
  <c r="J205" i="6"/>
  <c r="J197" i="6"/>
  <c r="J12" i="6"/>
  <c r="J171" i="6"/>
  <c r="J149" i="6"/>
  <c r="J147" i="6"/>
  <c r="J123" i="6"/>
  <c r="J121" i="6"/>
  <c r="J109" i="6"/>
  <c r="J219" i="6"/>
  <c r="J217" i="6"/>
  <c r="J25" i="6"/>
  <c r="J145" i="6"/>
  <c r="J112" i="6"/>
  <c r="J137" i="6"/>
  <c r="J135" i="6"/>
  <c r="J156" i="6"/>
  <c r="J157" i="6"/>
  <c r="J159" i="6"/>
  <c r="J173" i="6"/>
  <c r="J97" i="6"/>
  <c r="J95" i="6"/>
  <c r="J195" i="6"/>
  <c r="J5" i="6"/>
  <c r="J13" i="6"/>
  <c r="J15" i="6"/>
  <c r="J17" i="6"/>
  <c r="J27" i="6"/>
  <c r="J37" i="6"/>
  <c r="J49" i="6"/>
  <c r="J61" i="6"/>
  <c r="J63" i="6"/>
  <c r="J73" i="6"/>
  <c r="J75" i="6"/>
  <c r="J77" i="6"/>
  <c r="J87" i="6"/>
  <c r="J203" i="6"/>
  <c r="J179" i="6"/>
  <c r="J83" i="6"/>
  <c r="J35" i="6"/>
  <c r="J167" i="6"/>
  <c r="J7" i="6"/>
  <c r="J23" i="6"/>
  <c r="J11" i="6"/>
  <c r="J3" i="6"/>
  <c r="J193" i="6"/>
  <c r="J113" i="6"/>
  <c r="J89" i="6"/>
  <c r="J9" i="6"/>
  <c r="J213" i="6"/>
  <c r="J209" i="6"/>
  <c r="J185" i="6"/>
  <c r="J183" i="6"/>
  <c r="J169" i="6"/>
  <c r="J143" i="6"/>
  <c r="J133" i="6"/>
  <c r="J99" i="6"/>
  <c r="J85" i="6"/>
  <c r="J51" i="6"/>
  <c r="J181" i="6"/>
  <c r="J119" i="6"/>
  <c r="J148" i="6"/>
  <c r="J144" i="6"/>
  <c r="J132" i="6"/>
  <c r="J108" i="6"/>
  <c r="J72" i="6"/>
  <c r="J28" i="6"/>
  <c r="J14" i="6"/>
  <c r="J215" i="6"/>
  <c r="J100" i="6"/>
  <c r="J64" i="6"/>
  <c r="J36" i="6"/>
  <c r="J196" i="6"/>
  <c r="J192" i="6"/>
  <c r="J160" i="6"/>
  <c r="J120" i="6"/>
  <c r="J76" i="6"/>
  <c r="J40" i="6"/>
  <c r="J16" i="6"/>
  <c r="J4" i="6"/>
  <c r="J161" i="6"/>
  <c r="J220" i="6"/>
  <c r="J216" i="6"/>
  <c r="J208" i="6"/>
  <c r="J184" i="6"/>
  <c r="J180" i="6"/>
  <c r="J172" i="6"/>
  <c r="J168" i="6"/>
  <c r="J138" i="6"/>
  <c r="J136" i="6"/>
  <c r="J124" i="6"/>
  <c r="J122" i="6"/>
  <c r="J98" i="6"/>
  <c r="J96" i="6"/>
  <c r="J88" i="6"/>
  <c r="J86" i="6"/>
  <c r="J62" i="6"/>
  <c r="J60" i="6"/>
  <c r="J52" i="6"/>
  <c r="J48" i="6"/>
  <c r="J10" i="6"/>
  <c r="J8" i="6"/>
  <c r="J6" i="6"/>
  <c r="J2" i="6"/>
  <c r="J24" i="6"/>
  <c r="J84" i="6"/>
  <c r="J204" i="6"/>
  <c r="J111" i="6"/>
  <c r="J30" i="6"/>
  <c r="J68" i="6"/>
  <c r="J69" i="6"/>
  <c r="J189" i="6"/>
  <c r="J29" i="6"/>
  <c r="J41" i="6"/>
  <c r="J53" i="6"/>
  <c r="J65" i="6"/>
  <c r="J101" i="6"/>
  <c r="J125" i="6"/>
  <c r="J150" i="6"/>
  <c r="J162" i="6"/>
  <c r="J174" i="6"/>
  <c r="J186" i="6"/>
  <c r="J198" i="6"/>
  <c r="J210" i="6"/>
  <c r="J105" i="6"/>
  <c r="J129" i="6"/>
  <c r="J153" i="6"/>
  <c r="J165" i="6"/>
  <c r="J47" i="6"/>
  <c r="J59" i="6"/>
  <c r="J71" i="6"/>
  <c r="J107" i="6"/>
  <c r="J155" i="6"/>
  <c r="J152" i="6"/>
  <c r="J38" i="6"/>
  <c r="J50" i="6"/>
  <c r="J146" i="6"/>
  <c r="J158" i="6"/>
  <c r="J170" i="6"/>
  <c r="J206" i="6"/>
  <c r="J26" i="6"/>
  <c r="J74" i="6"/>
  <c r="J110" i="6"/>
  <c r="J134" i="6"/>
  <c r="J182" i="6"/>
  <c r="J194" i="6"/>
  <c r="J218" i="6"/>
  <c r="J104" i="6"/>
  <c r="J212" i="6"/>
  <c r="J39" i="6"/>
  <c r="J18" i="6"/>
  <c r="J42" i="6"/>
  <c r="J54" i="6"/>
  <c r="J66" i="6"/>
  <c r="J78" i="6"/>
  <c r="J90" i="6"/>
  <c r="J102" i="6"/>
  <c r="J114" i="6"/>
  <c r="J126" i="6"/>
  <c r="J32" i="6"/>
  <c r="J80" i="6"/>
  <c r="J92" i="6"/>
  <c r="J116" i="6"/>
  <c r="J128" i="6"/>
  <c r="J140" i="6"/>
  <c r="J164" i="6"/>
  <c r="J176" i="6"/>
  <c r="J188" i="6"/>
  <c r="J200" i="6"/>
  <c r="J21" i="6"/>
  <c r="J33" i="6"/>
  <c r="J45" i="6"/>
  <c r="J57" i="6"/>
  <c r="J81" i="6"/>
  <c r="J93" i="6"/>
  <c r="J117" i="6"/>
  <c r="J141" i="6"/>
  <c r="J177" i="6"/>
  <c r="J201" i="6"/>
  <c r="J131" i="6"/>
  <c r="J191" i="6"/>
  <c r="G10" i="5"/>
  <c r="J19" i="6"/>
  <c r="J31" i="6"/>
  <c r="J43" i="6"/>
  <c r="J55" i="6"/>
  <c r="J67" i="6"/>
  <c r="J79" i="6"/>
  <c r="J91" i="6"/>
  <c r="J103" i="6"/>
  <c r="J115" i="6"/>
  <c r="J127" i="6"/>
  <c r="J139" i="6"/>
  <c r="J151" i="6"/>
  <c r="J163" i="6"/>
  <c r="J175" i="6"/>
  <c r="J187" i="6"/>
  <c r="J199" i="6"/>
  <c r="J211" i="6"/>
  <c r="J22" i="6"/>
  <c r="J34" i="6"/>
  <c r="J46" i="6"/>
  <c r="J58" i="6"/>
  <c r="J70" i="6"/>
  <c r="J82" i="6"/>
  <c r="J94" i="6"/>
  <c r="J106" i="6"/>
  <c r="J118" i="6"/>
  <c r="J130" i="6"/>
  <c r="J142" i="6"/>
  <c r="J154" i="6"/>
  <c r="J166" i="6"/>
  <c r="J178" i="6"/>
  <c r="J190" i="6"/>
  <c r="J202" i="6"/>
  <c r="J214" i="6"/>
  <c r="J20" i="6"/>
  <c r="J44" i="6"/>
  <c r="J56" i="6"/>
  <c r="J222" i="6"/>
  <c r="H5" i="8"/>
  <c r="I2" i="8"/>
  <c r="I4" i="8"/>
  <c r="G7" i="5"/>
  <c r="G4" i="5"/>
  <c r="J225" i="6" l="1"/>
  <c r="L3" i="6" s="1"/>
</calcChain>
</file>

<file path=xl/sharedStrings.xml><?xml version="1.0" encoding="utf-8"?>
<sst xmlns="http://schemas.openxmlformats.org/spreadsheetml/2006/main" count="7525" uniqueCount="1934">
  <si>
    <t>n</t>
  </si>
  <si>
    <t>Mes</t>
  </si>
  <si>
    <t>Fecha</t>
  </si>
  <si>
    <t>Canal</t>
  </si>
  <si>
    <t>Local</t>
  </si>
  <si>
    <t xml:space="preserve">Área </t>
  </si>
  <si>
    <t xml:space="preserve">Optómetra </t>
  </si>
  <si>
    <t>Asesor</t>
  </si>
  <si>
    <t>Momento</t>
  </si>
  <si>
    <t xml:space="preserve">Calificación </t>
  </si>
  <si>
    <t>Pregunta</t>
  </si>
  <si>
    <t>Responde</t>
  </si>
  <si>
    <t>Comentario</t>
  </si>
  <si>
    <t xml:space="preserve">CLIENTE </t>
  </si>
  <si>
    <t>ID</t>
  </si>
  <si>
    <t xml:space="preserve">CONTACTO </t>
  </si>
  <si>
    <t>Correos disculpa</t>
  </si>
  <si>
    <t>llamada cliente</t>
  </si>
  <si>
    <t>Contestó</t>
  </si>
  <si>
    <t>OBSERVACIÓN / GESTIÓN DE LLAMADAS</t>
  </si>
  <si>
    <t>SOLUCIÓN</t>
  </si>
  <si>
    <t>quien llama</t>
  </si>
  <si>
    <t>CLASIFICACION</t>
  </si>
  <si>
    <t>Enero</t>
  </si>
  <si>
    <t>Telegram</t>
  </si>
  <si>
    <t>SAN MARINO</t>
  </si>
  <si>
    <t>Ventas</t>
  </si>
  <si>
    <t>TAPIA PEÑA JESSIE PAMELA</t>
  </si>
  <si>
    <t>RIVADENEIRA PARRA JONATHAN SEBASTIAN</t>
  </si>
  <si>
    <t>M1</t>
  </si>
  <si>
    <t>El asesoramiento recibido por el asesor fue:</t>
  </si>
  <si>
    <t>NO</t>
  </si>
  <si>
    <t>Informacion entregada incompleta</t>
  </si>
  <si>
    <t>no</t>
  </si>
  <si>
    <t>¿Qué tan satisfecho está con la explicación que le dio el asesor respecto a la garantía extendida?</t>
  </si>
  <si>
    <t>No se otorgo ninguna explicacion mas alla de en que aplica, mas no como aplicarla</t>
  </si>
  <si>
    <t xml:space="preserve">Optometría </t>
  </si>
  <si>
    <t>M3</t>
  </si>
  <si>
    <t>¿Recomendaría Óptica Los Andes a un familiar o amigo?</t>
  </si>
  <si>
    <t>Me entregaron los lentes con las lunas cambiadas entre sí, y tuve que regresar al día siguiente porque fui donde mi oftalmólogo y me dijo que eran incorrectas las medidas!, cuando regresé a su local del San Marino, la técnica encargada revisó y verificó los lentes y ella se dió cuenta que las lunas estaban cambiadas entre sí!!!...y tuvo el descaro de decirme que ella las había verificado antes de entregarme las!!...o sea que yo las había cambiado!!....cuando no era de ninguna forma eso posible!!!...me enojé mucho por discutirme e insistir en que ella las había entregado perfectas!!... pésima atención!!...a la final las recibí de vuelta pero me quedó la desconfianza por el mal rato que pasé y al haberme dado cuenta que tuvieron falla en su trabajo profesional!!!...no quiero ni usar esos lentes que me costaron más de $400 y a la final me sentí engañada porque la señorita que me atendió en la venta me dijo que era el mejor lente progresivo!!..y resulta que había otro mucho mejor!!... porque los campos visuales laterales me molestan!.... pésima experiencia está vez porque ya les he comprado antes y sin inconvenientes!.</t>
  </si>
  <si>
    <t xml:space="preserve">ALEJANDRO  SANCHEZ   </t>
  </si>
  <si>
    <t>0903972685001</t>
  </si>
  <si>
    <t>0983676992</t>
  </si>
  <si>
    <t>si</t>
  </si>
  <si>
    <t>Cliente no contestó</t>
  </si>
  <si>
    <t>SCALA SHOPING OSH</t>
  </si>
  <si>
    <t>ALDANA GOMEZ ANDREA</t>
  </si>
  <si>
    <t>SANCHEZ CHECA BRYAN ADRIAN</t>
  </si>
  <si>
    <t>El día de ayer 2 de enero realicé una compra en el local de Sunglass Hut de El Escala de unas gafas Ray-Ban que habíamos solicitado como regalo. Al llegar a casa nos dimos cuenta de que el modelo entregado no era el correcto. Regresamos hoy para solicitar la devolución, ya que el modelo correcto no está disponible, pero nos indicaron que no devuelven el dinero y que no pueden conseguir el modelo correcto Soy cliente de la marca desde hace muchos años y considero que esta respuesta no es adecuada, ya que el error no fue nuestro. Solicito una solución favorable, idealmente la devolución del valor pagado. Quedo atento a su respuesta. Gustavo Schneider 0999190138</t>
  </si>
  <si>
    <t xml:space="preserve">GUSTAVO   SCHNEIDER  </t>
  </si>
  <si>
    <t>1708531213</t>
  </si>
  <si>
    <t xml:space="preserve">0999190138
</t>
  </si>
  <si>
    <t>si se hizo el cambio para nota de crédito, se habló con el local y el cliente llamó al 1800, le dieron una caja de gafa Rayban</t>
  </si>
  <si>
    <t>MALL EL JARDIN OSH</t>
  </si>
  <si>
    <t>BAÑO LUCERO DAYANA LISBETH</t>
  </si>
  <si>
    <t>VERDEZOTO VELEZ JONATHAN ALEXANDER</t>
  </si>
  <si>
    <t>Poca asesoria</t>
  </si>
  <si>
    <t>Las recomendaciones recibidas por el optómetra fue:</t>
  </si>
  <si>
    <t>Pocas recomendaciones</t>
  </si>
  <si>
    <t>QUICENTRO SUR</t>
  </si>
  <si>
    <t>ECHEVERRIA NOBOA HIPATIA MAGDALENA</t>
  </si>
  <si>
    <t>BARRERA GORDON HERMEN GUSTAVO</t>
  </si>
  <si>
    <t>M2</t>
  </si>
  <si>
    <t>¿El tiempo de entrega de su producto fue acorde al tiempo ofrecido?</t>
  </si>
  <si>
    <t>Se demoraron casi dos semanas</t>
  </si>
  <si>
    <t>POLICENTRO</t>
  </si>
  <si>
    <t>CASTRO IBARRA CINDY JAZMIN</t>
  </si>
  <si>
    <t>GUERRA PINCAY LIDIA LISBETH</t>
  </si>
  <si>
    <t>Las optometrías y la de atención al cliente no me entregaron el estuche de la marca de los armazones q compré. Terrible servicio.</t>
  </si>
  <si>
    <t xml:space="preserve">OSWALDO ANDRES  MORENO PEREZ </t>
  </si>
  <si>
    <t>0996767379</t>
  </si>
  <si>
    <t>es gafa</t>
  </si>
  <si>
    <t>ALAVA SOLORZANO JEFFERSON CRISTHIAN</t>
  </si>
  <si>
    <t>De 5-6 días y me entregaron a los 10 días</t>
  </si>
  <si>
    <t>SAN LUIS</t>
  </si>
  <si>
    <t>MOJICA GARCIA ALFONSO JAVIER</t>
  </si>
  <si>
    <t>DAVILA OSSA MARCELO EDUARDO</t>
  </si>
  <si>
    <t>No me llamaron para entregar mis lentes</t>
  </si>
  <si>
    <t xml:space="preserve">KLEVER FRANCISCO FRANCISCO  ENRIQUEZ CHANGO CHANGO </t>
  </si>
  <si>
    <t>1716567936</t>
  </si>
  <si>
    <t>0979538182</t>
  </si>
  <si>
    <t>Tus lentes ya estan listos en el local SAN LUIS tel 0998661846 / mensaje si se envío</t>
  </si>
  <si>
    <t>MALL EL JARDIN</t>
  </si>
  <si>
    <t>CUASCOTA MALTE ROBERTO CARLOS</t>
  </si>
  <si>
    <t>RUIZ CARREÑO FREDDY SANTIAGO</t>
  </si>
  <si>
    <t>Estoy muy insatisfecho con los Marcos que compré, no llevan ni un mes y me quedan completamente flojos y se descuadran</t>
  </si>
  <si>
    <t xml:space="preserve">ALBAN SANTAMARIA JORGE ESTALIO 
</t>
  </si>
  <si>
    <t>1719626820</t>
  </si>
  <si>
    <t>0995414001</t>
  </si>
  <si>
    <t>va mas de 10 años comprando con nosotros y esta vez tiene problemas, los marcos están descuadrados, se marea cuando los usa, me mareo, se resbalan, compra lo mejor, no ha podido ir al local para revisión, va a ir al San Luis</t>
  </si>
  <si>
    <t>La atención del asesor con respecto a la explicación del cuidado y la garantía del producto fue:</t>
  </si>
  <si>
    <t>No me dio ninguna asesoría sobre el tema de garantía</t>
  </si>
  <si>
    <t>RIOCENTRO CEIBOS</t>
  </si>
  <si>
    <t>MORANTE LEON MARIA</t>
  </si>
  <si>
    <t>GOMEZ LEON NAYDELYN ESCARLETH</t>
  </si>
  <si>
    <t>¿Le entregaron la factura física el momento de su compra?</t>
  </si>
  <si>
    <t>QUICENTRO SHOPPING</t>
  </si>
  <si>
    <t>NUÑEZ MONAR SILVANA GISSELA</t>
  </si>
  <si>
    <t>YEPEZ PAVON DAVID GUSTAVO</t>
  </si>
  <si>
    <t>Al ser un accesorio estético el acompañamiento del asesor debe ser más empático y cercano con el cliente en el sentido de dar las mejores recomendaciones, más allá de "¿qué es lo que le gusta?"</t>
  </si>
  <si>
    <t>Mas o menos</t>
  </si>
  <si>
    <t>BOSQUE 1</t>
  </si>
  <si>
    <t>GUERRERO AIZAGA KATHERINE LIZBETH</t>
  </si>
  <si>
    <t>GUATEMAL OTAVALO MARIA GABRIELA</t>
  </si>
  <si>
    <t>elevado el precio</t>
  </si>
  <si>
    <t xml:space="preserve">MARIA FERNANDA  VARGAS </t>
  </si>
  <si>
    <t>1711689354</t>
  </si>
  <si>
    <t>0996503390</t>
  </si>
  <si>
    <t>respondió al correo de disculpas, por confirmar devolución</t>
  </si>
  <si>
    <t>VILLAGE PLAZA</t>
  </si>
  <si>
    <t>SAMAN JIMENEZ PAOLO CESAR</t>
  </si>
  <si>
    <t>OCHOA TORRES CESAR ENRIQUE</t>
  </si>
  <si>
    <t>Mal atendida por el vendedor</t>
  </si>
  <si>
    <t xml:space="preserve">MAIRA ROSA MENDOZA SARABIA  MAIRA ROSA MENDOZA SARABIA SARABIA </t>
  </si>
  <si>
    <t>1204269953001</t>
  </si>
  <si>
    <t>0959598124</t>
  </si>
  <si>
    <t>No me gusto</t>
  </si>
  <si>
    <t>CCI 1</t>
  </si>
  <si>
    <t>NARVAEZ OBANDO LIDIA VERONICA</t>
  </si>
  <si>
    <t>JACOME NOBOA PATRICIO JAVIER</t>
  </si>
  <si>
    <t>Falto información</t>
  </si>
  <si>
    <t>MALL DEL NORTE</t>
  </si>
  <si>
    <t>POZO RONQUILLO SEBASTIAN GABRIEL</t>
  </si>
  <si>
    <t>ZURITA PARRALES ALEX SEBASTIAN</t>
  </si>
  <si>
    <t>Muy frío la atención</t>
  </si>
  <si>
    <t xml:space="preserve">ROBERTO CARLOS VAQUILEMA YAUTIBUG   </t>
  </si>
  <si>
    <t>0604814921001</t>
  </si>
  <si>
    <t>0959525237</t>
  </si>
  <si>
    <t>MALL DEL RIO CUENCA</t>
  </si>
  <si>
    <t>AGUILERA CAMACHO JOSE LUIS</t>
  </si>
  <si>
    <t>NAREA JUELA JUAN ANDRES</t>
  </si>
  <si>
    <t>Me dijeron 7-8 días laborables y se demoró 14 días laborables. Aparte tampoco me llegó notificación de que el producto estaba listo por lo que tuve que comunicarme en más de una ocasión por teléfono para constatar el estado del producto</t>
  </si>
  <si>
    <t>RODRIGUEZ LEON ALEXANDRA GABRIELA</t>
  </si>
  <si>
    <t>PAREDES LEON CHRISTOPHER HERNAN</t>
  </si>
  <si>
    <t>Me entregaron, pero estaba con falla , el producto no lo lo recibo el mismo quedo en la optica para su correccion, aun no lo recibo</t>
  </si>
  <si>
    <t xml:space="preserve">PLACIDO  VASQUEZ MACIAS </t>
  </si>
  <si>
    <t>1708425929</t>
  </si>
  <si>
    <t>0959897107</t>
  </si>
  <si>
    <t>CONDADO SHOPPING</t>
  </si>
  <si>
    <t>Murillo Dominguez Jhan</t>
  </si>
  <si>
    <t>HIDALGO MEJIA CRISTIAN DAVID</t>
  </si>
  <si>
    <t>La atención del optómetra con respecto a la explicación del uso del producto fue:</t>
  </si>
  <si>
    <t>Sin explicación mayor</t>
  </si>
  <si>
    <t xml:space="preserve"> Fui atendida un largo tiempo después de estar en el establecimiento</t>
  </si>
  <si>
    <t>NARVAEZ ANDRADE PAUL VINICIO</t>
  </si>
  <si>
    <t>MINCHALA ANDRADE PABLO PATRICIO</t>
  </si>
  <si>
    <t>En principio, cuando mi esposa fue a retirar los lentes NO hubo ninguna explicacion. Tuvimos que ir nuevamente conmigo y exigir que la optometra le entregue los lentes verificando que todo este correcto.</t>
  </si>
  <si>
    <t>ofrecieron en 5 dias habiles, pero el producto habia estado mucho antes y nunca nos notificaron. Mi esposa tuvo que ir personalmente el dia 6 de enero y le dijeron que los lentes estuivieron desde el 30 de diciembre. NUNCA FUIMOS NOTIFICADOS</t>
  </si>
  <si>
    <t>la compra fue realizada el 24 de diciembre y me dijeron que me llegaria la factura a mi correo, PERO NUNCA LLEGO. Ayer tuve que pedir que me envien la factura a mi correo.</t>
  </si>
  <si>
    <t>PIAZZA MACHALA</t>
  </si>
  <si>
    <t>HUANCA CASTILLO KERLY ROSA</t>
  </si>
  <si>
    <t>FERNÁNDEZ GUEVARA JHOMYRA ELIZABETH</t>
  </si>
  <si>
    <t>Sobre la garantía creo que debería ser más clara la explicación</t>
  </si>
  <si>
    <t>GUAMAN MARTINEZ MARLLORY ALEXANDRA</t>
  </si>
  <si>
    <t>FRANKLIN SEBASTIAN VACACELA AGUAYO</t>
  </si>
  <si>
    <t>Me ofertan una tecnología de lentes cryzal rock, compro 2 pares unos rayban y otros ton ford, ahora veo que me cambian la tecnología de los ton Ford xq supuestamente los Marcos son más grandes, una falta de seriedad.</t>
  </si>
  <si>
    <t xml:space="preserve">FRANCISCO JAVIER  ALMENDARIZ VALVERDE </t>
  </si>
  <si>
    <t>1720388592</t>
  </si>
  <si>
    <t>0984156370</t>
  </si>
  <si>
    <t>Google</t>
  </si>
  <si>
    <t>SAC</t>
  </si>
  <si>
    <t>BETHY LOOR</t>
  </si>
  <si>
    <t>Comentario google</t>
  </si>
  <si>
    <t>SI</t>
  </si>
  <si>
    <t>El 30 de noviembre del 2025 compré unos lentes, se me cobró un seguro el cual nunca se explicó que era opcional, ni me hablaron de montos, me comunique con óptica los andes y me indicaron que se me iba a regresar el monto del seguro que NO SOLICITÉ en 15 días, hoy 7 de Enero del 2026 no he tenido respuesta, ni noticias de la devolución de un seguro que no deseaba NO RECOMENDABLE</t>
  </si>
  <si>
    <t xml:space="preserve">CARLOS JUMBO </t>
  </si>
  <si>
    <t>0983137071</t>
  </si>
  <si>
    <t>MULTIPLAZA MIRAFLORES CUENCA</t>
  </si>
  <si>
    <t>PROAÑO ZUÑIGA ANDRES ALEJANDRO</t>
  </si>
  <si>
    <t>VELIZ MOLINA MAITE NOEMI</t>
  </si>
  <si>
    <t>hasta la fecha ni me entregan el producto ni tengo ninguna informacion</t>
  </si>
  <si>
    <t xml:space="preserve">JOSE MARIA  LANDI CRIOLLO </t>
  </si>
  <si>
    <t>0100352012</t>
  </si>
  <si>
    <t>0999999999</t>
  </si>
  <si>
    <t>no me han comunicado de la garantia</t>
  </si>
  <si>
    <t>Nadie me dijo nada de esa garantía solo me la cobraron.</t>
  </si>
  <si>
    <t>no me explicaron nada</t>
  </si>
  <si>
    <t>solicite me envie a otro local cuando al momento de la compra me indicaron que si podian hacerlo pero no fue asi, me toco volver al mismo local a retirar</t>
  </si>
  <si>
    <t>EL DORADO</t>
  </si>
  <si>
    <t>GUERRERO CARBO WILLIE JOEL</t>
  </si>
  <si>
    <t>PASTUZO ORELLANA MARTHA ALICIA</t>
  </si>
  <si>
    <t>Han cambiado la calidad del trabajo. Pese a la toma de medidas, no me siento comoda con los lentes, inclusive pasando el periodo de adaptacion que me pidieron. Esto no me habia pasado con ustedes antes ni con otras opticas. Y lo mismo le paso a mi mamá y hermanas... en total compramos cerca de $3,000 en lentes</t>
  </si>
  <si>
    <t xml:space="preserve">MARTHA CECILIA  PAZMIÑO ACUÑA </t>
  </si>
  <si>
    <t>0914376686</t>
  </si>
  <si>
    <t>0989766923</t>
  </si>
  <si>
    <t>ROBLEZ QUEZADA SANDRA ELIZABET</t>
  </si>
  <si>
    <t>No lo fue</t>
  </si>
  <si>
    <t>ZAMBRANO SANTANA CINDY</t>
  </si>
  <si>
    <t>RAMIREZ GARCIA JORGE</t>
  </si>
  <si>
    <t>Tres meses se demoraron en devolverme mis lentes, tres meses No les interesó como se siente el cliente, no soluciónaron rápido. Cero interés, los de SAC solo llamaban a decir cosas, realizaba preguntas y no sabían contestar, que devolvían la llamada y JAMAS me dieron respuestas concretas. El servicio ha caído horrible de óptica los andes</t>
  </si>
  <si>
    <t xml:space="preserve">STEPHANIE DEL ROSARIO  DIAZ MORA </t>
  </si>
  <si>
    <t>0914188305</t>
  </si>
  <si>
    <t>0999769780</t>
  </si>
  <si>
    <t>se ha tenido comunicación constante con la cliente, ya se entregaron los lentes, si hubo demora por parte de laboratorio y error en lunas, si fue un caso complicado que nos llevó tiempo resolver</t>
  </si>
  <si>
    <t>¿Qué tan satisfecho está con los beneficios de su armazón/gafas/lunas/lentes de contacto?</t>
  </si>
  <si>
    <t>Pesimo, compré el seguro me tocó pagar una prima elevada y aún así se demoraron 3 meses</t>
  </si>
  <si>
    <t>¿Qué tan satisfecho está con la calidad visual y medidas de sus lunas/lentes de contacto?</t>
  </si>
  <si>
    <t>Luna’s corregidas con fallas como 5 veces, PÉSIMO Pruebas de calidad realizadas contra luz, hasta me enviaron video del famoso trabajo realizado. TERRIBLE</t>
  </si>
  <si>
    <t>MULTIPLAZA EL BATAN CUENCA</t>
  </si>
  <si>
    <t>CABRERA SANCHEZ ESTEBAN</t>
  </si>
  <si>
    <t>FAJARDO MARMOLEJO HEYDY CESIBEL</t>
  </si>
  <si>
    <t>No me explico nada</t>
  </si>
  <si>
    <t xml:space="preserve"> La atención del optómetra con respecto a la explicación del uso del producto fue:</t>
  </si>
  <si>
    <t>Ninguno</t>
  </si>
  <si>
    <t>CASTRO ALVAREZ ERIKA NARCISA</t>
  </si>
  <si>
    <t>La atención más o menos</t>
  </si>
  <si>
    <t xml:space="preserve">ANA MARIA  MANRIQUE PAREJA </t>
  </si>
  <si>
    <t>0911941623</t>
  </si>
  <si>
    <t>0994012841</t>
  </si>
  <si>
    <t xml:space="preserve">No estuvo presente en ningún momento </t>
  </si>
  <si>
    <t xml:space="preserve">Ninguna </t>
  </si>
  <si>
    <t>SCALA SHOPPING</t>
  </si>
  <si>
    <t>BARAHONA CAÑAS ANDRES WLADIMIR</t>
  </si>
  <si>
    <t>CALDERON CASTILLO ROCIO DEL CISNE</t>
  </si>
  <si>
    <t>si va a comprar para ayudarle...</t>
  </si>
  <si>
    <t>No se me acerco ningún optómetra</t>
  </si>
  <si>
    <t>RIOCENTRO ENTRE RIOS</t>
  </si>
  <si>
    <t>YACELGA MARCILLO JOSE SANTIAGO</t>
  </si>
  <si>
    <t>ALVARADO CEVALLOS CECILIA</t>
  </si>
  <si>
    <t>Dejaron las lunas no de acuerdo a lo solicitado, yo tenía que viajar al dia siguiente al exterior por lo que deje la nota con la persona que me entrego, que regreso en agosto o diciembre para que me las arreglen</t>
  </si>
  <si>
    <t xml:space="preserve">MERCEDES WALKIRIA PACTONG RODRIGUEZ 
</t>
  </si>
  <si>
    <t xml:space="preserve">0908888118
</t>
  </si>
  <si>
    <t>0982866787</t>
  </si>
  <si>
    <t>Me dijeron que estaría el lunes, fui martes temprano y no estuvieron, tuve que regresar a la noche y tuvo fallas por lo que no nos dio tiempo corregir</t>
  </si>
  <si>
    <t>0982866788</t>
  </si>
  <si>
    <t>ZURITA HARO JORDY</t>
  </si>
  <si>
    <t>Es un robo los precios que tienen</t>
  </si>
  <si>
    <t xml:space="preserve">TERAN   SANTIAGO  </t>
  </si>
  <si>
    <t>1706461736</t>
  </si>
  <si>
    <t>0994167057</t>
  </si>
  <si>
    <t>DEL VALLE TRIVIÑO YEXI</t>
  </si>
  <si>
    <t>No entregan los lentes en el plazo que indican al inicio. Me mandan esta encuestas cuando ni siquiera tengo mis lentes.</t>
  </si>
  <si>
    <t xml:space="preserve">DAVID  ARMAS </t>
  </si>
  <si>
    <t>1723516975</t>
  </si>
  <si>
    <t>0999013441</t>
  </si>
  <si>
    <t>Parece que quiere acabar el examen en menos de un minuto. Cada rato apura pidiendo una respuesta</t>
  </si>
  <si>
    <t>RECREO 1</t>
  </si>
  <si>
    <t>TORRES OCHOA DANIEL</t>
  </si>
  <si>
    <t>Quelal Orozco Stefany Mabel</t>
  </si>
  <si>
    <t>La atención en C.C Recreo no es muy favorable</t>
  </si>
  <si>
    <t xml:space="preserve">GEOVANNA ELIZABETH  BEJARANO PIMBO </t>
  </si>
  <si>
    <t>0928722933</t>
  </si>
  <si>
    <t>0999415192</t>
  </si>
  <si>
    <t>OCHOA FIGUEROA GLADIS LEONELA</t>
  </si>
  <si>
    <t>No me dijeron el precio desde el inicio. en al factura me aparece un rubro de algo que no sabía saphire o algo similar. Me quedé con la sensación de que me podían ofrecer otros productos más económicos</t>
  </si>
  <si>
    <t xml:space="preserve">JUAN BERNARDO GORDILLO BERNARDO  JUAN BERNARDO GORDILLO  </t>
  </si>
  <si>
    <t>1709992224001</t>
  </si>
  <si>
    <t>0999840011</t>
  </si>
  <si>
    <t>La atención</t>
  </si>
  <si>
    <t xml:space="preserve">AMANDA  TUAPANTA DUQUE </t>
  </si>
  <si>
    <t>0995038817</t>
  </si>
  <si>
    <t>PASEO SHOPPING RIOBAMBA</t>
  </si>
  <si>
    <t>MANCHENO ALCIVAR SUGEY MAYTE</t>
  </si>
  <si>
    <t>PUGA ERAZO HENRY</t>
  </si>
  <si>
    <t>cargan valores no acordados</t>
  </si>
  <si>
    <t xml:space="preserve">ABRIL MERIZALDE  DENNYS LEONARDO </t>
  </si>
  <si>
    <t>0603884545</t>
  </si>
  <si>
    <t>0987040174</t>
  </si>
  <si>
    <t>ME COMENTO QUE TENIA ESE SERVICIO LUEGO DE PROCEDER AL PAGO, NO SE ME INFORMO ANTES DE REALIZA LA COMPRA</t>
  </si>
  <si>
    <t>AVILES HEREDIA MARLON ISRAEL</t>
  </si>
  <si>
    <t>Me gusta la cortesía de sus empleados, sin embargo sentí que siempre me ofrecieron los productos màs caros y que si preguntaba  por otro tipo de luna no haybia stock etc. Lo que compré en otro sitio costaba 100 dólares menos... pero commo verán siempre estoy comprandoles igual productos.</t>
  </si>
  <si>
    <t xml:space="preserve">PAULA SUBIA PINTO   </t>
  </si>
  <si>
    <t>0915583322001</t>
  </si>
  <si>
    <t>0999279299</t>
  </si>
  <si>
    <t>BASANTES POLO LUCIA MONSERRATH</t>
  </si>
  <si>
    <t xml:space="preserve">Mal servicio en el tema de entregas. No son de palabra. Me indicaron que mis lentes van hacer entregados en 3 días hábiles. 
Resulta que no tengo ninguna respuesta de cuando mismo me van a entregar y yo ya los necesito porq por tema de trabajo ya entro a trabajar el dia lunes y no voy a tener tiempo de ir a retirar
</t>
  </si>
  <si>
    <t>El asesor se fue de vacaciones el 23 y por error enviaron al quicentro norte. Por esto hubo demora en la entrega. Mejoraremos la comunicación para evitar estos inconvenientes / local se comunica con SAC para saber que cliente fue</t>
  </si>
  <si>
    <t>Veo un poco distorsionado cuando me miro al espejo desde lejos</t>
  </si>
  <si>
    <t xml:space="preserve">MALL DEL SOL 1 </t>
  </si>
  <si>
    <t>RAMIREZ ZAMBRANO GRIPINA NATALIA</t>
  </si>
  <si>
    <t>Estoy reclamando por la pérdida del color de un marco comprado hace más de un año. Acabo de comprar un nuevo marco y espero que no le suceda lo mismo. Quiero comprobar la seriedad de la empresa con las garantías ofrecidas.</t>
  </si>
  <si>
    <t>Experiencia de Uso</t>
  </si>
  <si>
    <t>Pésimo servicio, no me entregan mis lentes, más de 15 días.</t>
  </si>
  <si>
    <t xml:space="preserve">MERY MARISOL  BUSE PAEZ </t>
  </si>
  <si>
    <t>1709588212</t>
  </si>
  <si>
    <t>0984516549</t>
  </si>
  <si>
    <t>algo me explico pero no sabia bien..</t>
  </si>
  <si>
    <t>El producto muy bueno pero la atención terrible De los empleados del centro comercial San Luis y del quicentro sur</t>
  </si>
  <si>
    <t xml:space="preserve">PAULINA ALEXANDRA  CRUZ CHAMORRO </t>
  </si>
  <si>
    <t>1712762481001</t>
  </si>
  <si>
    <t>0992715888</t>
  </si>
  <si>
    <t>NOBOA JIMENEZ CINDY PAOLA</t>
  </si>
  <si>
    <t>No fue muy clara</t>
  </si>
  <si>
    <t>SAN LUIS SHOPPING OSH</t>
  </si>
  <si>
    <t>CONDO JACOME MICHELL</t>
  </si>
  <si>
    <t>ORTIZ VILLALOBOS DANIEL</t>
  </si>
  <si>
    <t>no tiene animos de atender</t>
  </si>
  <si>
    <t>SUAREZ ALAY BORIS</t>
  </si>
  <si>
    <t>No me explicaron sobre cuidados ni garantía del producto</t>
  </si>
  <si>
    <t>BOSQUE 4</t>
  </si>
  <si>
    <t>PARRALES CAÑAR PATRICIA PILAR</t>
  </si>
  <si>
    <t>VILLAMAR PORTUGAL JAIR ALEXANDER</t>
  </si>
  <si>
    <t>Nunca me hablaron de eso</t>
  </si>
  <si>
    <t>REINA MINDA RAUL RENE</t>
  </si>
  <si>
    <t>siento que el punto de visión está muy bajo, debo levantar las patas de los lentes para ajustar las distintas distancias de visión</t>
  </si>
  <si>
    <t>QUINTEROS ESPINOZA BERENICE ELISABETH</t>
  </si>
  <si>
    <t>La medida de los lentes no es la adecuada</t>
  </si>
  <si>
    <t xml:space="preserve">VICTOR EDUARDO BORJA MANTILLA  BORJA MANTILLA </t>
  </si>
  <si>
    <t>1707024707001</t>
  </si>
  <si>
    <t>0984373945</t>
  </si>
  <si>
    <t>Te cobran de seguros sin informarte</t>
  </si>
  <si>
    <t xml:space="preserve">GRACE  LOPEZ </t>
  </si>
  <si>
    <t>1726300740</t>
  </si>
  <si>
    <t>0998443152</t>
  </si>
  <si>
    <t>LOJA ZAMORA MONICA LUCRESIA</t>
  </si>
  <si>
    <t>Me entregaron lentes sin medida. Tuve que regresar dos veces al local para que los arreglen. Pésima experiencia</t>
  </si>
  <si>
    <t xml:space="preserve">VICTOR HUGO   SALAZAR ESCOBAR  </t>
  </si>
  <si>
    <t>1711049377</t>
  </si>
  <si>
    <t>0995673189</t>
  </si>
  <si>
    <t>PASEO SHOPPING PORTOVIEJO</t>
  </si>
  <si>
    <t>REZABALA FARFAN STEFANY</t>
  </si>
  <si>
    <t>SALVATIERRA SALVATIERRA MARIA DOLORES</t>
  </si>
  <si>
    <t>hola, adquirí en el paseo shopin de Portoviejo, unos lentes de gama alta y lo que recibí fué unos de gamma baja y casi totalmente borrosos a mi visión , ya antes he adquirido dos lentes de gama media y quedaron perfectos , pero esto que me vendieron lo considero una estafa ...facvor solucione el problema para evitar inconvenientes, así tengan que corregirlos 20 veces ...mi nombre Irvin Ramírez de cédula 1303801011...tef: 0999773107</t>
  </si>
  <si>
    <t xml:space="preserve">Irvin Ramírez </t>
  </si>
  <si>
    <t>1303801011</t>
  </si>
  <si>
    <t>0999773107</t>
  </si>
  <si>
    <t>VELASCO GUACHIZACA BRYAN SANTIAGO</t>
  </si>
  <si>
    <t>Me ofrecieron garantía de 1 mes en los lentes y voy y me dicen que no es cierto, son unos estafadores, jugando con la visión de un niño</t>
  </si>
  <si>
    <t xml:space="preserve">CARLA DIAZ   </t>
  </si>
  <si>
    <t>1727662858001</t>
  </si>
  <si>
    <t>0984698205</t>
  </si>
  <si>
    <t xml:space="preserve"> RECREO 2</t>
  </si>
  <si>
    <t>Fuentes Rosero Kevin</t>
  </si>
  <si>
    <t>CAZAR VILLALBA FERNANDO WLADIMIR</t>
  </si>
  <si>
    <t>El servicio de atención por parte del personal muy bueno. Sin embargo el material para la elaboración de las lunas de los lentes se demoraba demasiado en fabricar (3 semanas)</t>
  </si>
  <si>
    <t xml:space="preserve">DAVID  GODOY </t>
  </si>
  <si>
    <t xml:space="preserve">1721049193
</t>
  </si>
  <si>
    <t>0958761121</t>
  </si>
  <si>
    <t>MEGAMAXI 6 DE DICIEMBRE OLA KIDS</t>
  </si>
  <si>
    <t>ASITIMBAY AVILA GABRIELA FERNANDA</t>
  </si>
  <si>
    <t>TUFIÑO LOAIZA GABRIEL ALEJANDRO</t>
  </si>
  <si>
    <t>Siento que el asesor no le dio la prioridad del caso a mi compra podría ser mejor</t>
  </si>
  <si>
    <t>PORTAL SHOPPING CARAPUNGO</t>
  </si>
  <si>
    <t>ESPAÑA RISUEÑO TANIA ELIZABETH</t>
  </si>
  <si>
    <t>NEVAREZ SOLANO JESSICA MABEL</t>
  </si>
  <si>
    <t>No me detalló que la garantía se daba por un valor extra</t>
  </si>
  <si>
    <t>Te ponen un seguro que no te dicen que te lo estan cobrando, ya que no entregan factura</t>
  </si>
  <si>
    <t xml:space="preserve">ROCIO  GONZALEZ REYES </t>
  </si>
  <si>
    <t>0923665475</t>
  </si>
  <si>
    <t>0985101870</t>
  </si>
  <si>
    <t>MALL DEL PACIFICO MANTA</t>
  </si>
  <si>
    <t>GARCIA OSTAIZA GEMA</t>
  </si>
  <si>
    <t>QUIMIS CASTRO CARLOS</t>
  </si>
  <si>
    <t>Tardo 5 días mas</t>
  </si>
  <si>
    <t>LOOR INTRIAGO BETHY MARIBEL</t>
  </si>
  <si>
    <t>Un servicio totalmente nefasto, dañaron un par de gafas que llevé, y los otros dos pares, no se realizó el servicio solicitado. Y si se les pide reembolso, solo dicen: " no nos hacemos cargo"</t>
  </si>
  <si>
    <t xml:space="preserve">JEFFREY  BAHAMONDE 
</t>
  </si>
  <si>
    <t>1716905672</t>
  </si>
  <si>
    <t>0969638885</t>
  </si>
  <si>
    <t>MALL FORTIN OUTLET</t>
  </si>
  <si>
    <t>ZAMBRANO CHIQUITO CINDY LISBETH</t>
  </si>
  <si>
    <t>ESCANDON RAMBAY JORGE LUIS</t>
  </si>
  <si>
    <t>En algunos lugares son pésima la atención</t>
  </si>
  <si>
    <t xml:space="preserve">ANATACIO FIDEL  MONTES SUAREZ </t>
  </si>
  <si>
    <t>1201569264</t>
  </si>
  <si>
    <t>0992734095</t>
  </si>
  <si>
    <t>INGA ALVAREZ MARCO ALEJANDRO</t>
  </si>
  <si>
    <t>no son muy amables</t>
  </si>
  <si>
    <t xml:space="preserve">Telegram </t>
  </si>
  <si>
    <t>BELTRAN MESIAS MARIA DEL CISNE</t>
  </si>
  <si>
    <t>VITERI FLOR MARIA JOSE</t>
  </si>
  <si>
    <t>Fue bueno, aunque falto motivación o interés por parte del vendedor. Años atrás, salí de la tienda por la mala atención que recibí.</t>
  </si>
  <si>
    <t>Fui en calentador a retirar mis lentes, me vieron casi con asco, me atendieron por obligación y me fui lo más rápido que pude de ahí. Obvio no voy a regresar</t>
  </si>
  <si>
    <t xml:space="preserve">PABLO ANDRES  PROAÑO CHAMORRO 
</t>
  </si>
  <si>
    <t>1004137509</t>
  </si>
  <si>
    <t>0982440935</t>
  </si>
  <si>
    <t>ROBLEZ QUEZADA SANDRA ELIZABE</t>
  </si>
  <si>
    <t>No pedí filtro azul en mis lunas, de todos modos me las pusieron.</t>
  </si>
  <si>
    <t>Nunca se me explicó que era opcional el optar por el servicio de garantía, simplemente se le aplicó al valor final, de igual manera nunca se me indicó el desglose de todo lo adquirido</t>
  </si>
  <si>
    <t>Pésimo servicio al cliente en la agencia de Quito San Luis Shopping. La primera vez me trataron muy mal, solo porque encontré unos marcos que me gustaron compré mi producto ahí, cuando voy a retirar mis lentes me perdieron mi receta médica la cual me servía para el reembolso de mis lentes y no me dieron razón donde dejaron la receta.</t>
  </si>
  <si>
    <t xml:space="preserve">ANA MARIA  PADILLA CERVANTES </t>
  </si>
  <si>
    <t xml:space="preserve">1720534195
</t>
  </si>
  <si>
    <t>0992714573</t>
  </si>
  <si>
    <t>n/a</t>
  </si>
  <si>
    <t>respondió el correo y agradeció el seguimiento</t>
  </si>
  <si>
    <t>Nunca me explico , solo en la factura me enteré que dura 6 meses</t>
  </si>
  <si>
    <t>Febrero</t>
  </si>
  <si>
    <t>SALAZAR SANCHEZ KATHERINE</t>
  </si>
  <si>
    <t>Tuve que verificar varias veces el precio porque la Srta que me atendió me estaba cobrando demás $80 dólares, tema que pude realizar por mi insistencia</t>
  </si>
  <si>
    <t xml:space="preserve">MARIA ELIZABETH  MASSARI ROJAS </t>
  </si>
  <si>
    <t>0963574561</t>
  </si>
  <si>
    <t>0959407475</t>
  </si>
  <si>
    <t>no contestó</t>
  </si>
  <si>
    <t>PASEO SAN FRANCISCO</t>
  </si>
  <si>
    <t>ESPINOSA FERNANDEZ CESAR</t>
  </si>
  <si>
    <t>Me pusieron una medida que no me sirvió. He sido cliente de óptica los Andes desde que empece a usar lente a los 16 años (tengo 42) y nunca me habia pasado esto, fue una primera mala experiencia</t>
  </si>
  <si>
    <t xml:space="preserve">MARIA DEL CARMEN  BURBANO VALENCIA </t>
  </si>
  <si>
    <t>0992596377</t>
  </si>
  <si>
    <t>No recomendaría el local del Mall El Jardin por la mala atención del chico vendedor encargado el día 30 de enero a las 8pm fue deficiente y desinteresado</t>
  </si>
  <si>
    <t xml:space="preserve">DIEGO ESPINOZA   </t>
  </si>
  <si>
    <t>1721823514001</t>
  </si>
  <si>
    <t>0984279842</t>
  </si>
  <si>
    <t>Optometría</t>
  </si>
  <si>
    <t>Sus recomendaciones fueron en tono de burla</t>
  </si>
  <si>
    <t>mismo cliente</t>
  </si>
  <si>
    <t>No todas las personas de servicio al cliente atienden con amabilidad</t>
  </si>
  <si>
    <t>TOLEDO GAVILANEZ NORMA ISABEL</t>
  </si>
  <si>
    <t>1705217543001</t>
  </si>
  <si>
    <t>0984502476</t>
  </si>
  <si>
    <t xml:space="preserve">si </t>
  </si>
  <si>
    <t>indicó que no fue algo grave y ya no quiso hablar</t>
  </si>
  <si>
    <t>ACHIÑA ROJAS DEIGO</t>
  </si>
  <si>
    <t>La sra que me atendió no tiene carisma. Sentí apuro en vender y no dar información mamás tallada. Al momento de pagar sentí presión como si no tuviese el dinero para cancelar porque sus gestos lo hacía notar</t>
  </si>
  <si>
    <t xml:space="preserve">ALEXANDRA CRISTINA  JAPA HIDALGO </t>
  </si>
  <si>
    <t>1720370954</t>
  </si>
  <si>
    <t>0984661655</t>
  </si>
  <si>
    <t>local ya pidió datos para saber que pasó</t>
  </si>
  <si>
    <t>PLAZA PACIFICO</t>
  </si>
  <si>
    <t>CABRERA SOTO KATHERINE</t>
  </si>
  <si>
    <t>MANSILLA JIMENEZvvvvv JAMIL STEEVEN</t>
  </si>
  <si>
    <t>He sido cliente muchos años, he comprado muchos lentes y marcos, esta vez aunque la atención fue dada con mucho tino y amabilidad, no es posible que se gaste mas de $1300 y no existan productos en los colores que uno quiere (en concreto lunas) hay que "elegir" entre lo poco que hay, repito: se esta pagando una suma alta, son varias las compras.</t>
  </si>
  <si>
    <t xml:space="preserve">JUAN JOSE JARAMILLO  JARAMILLO  </t>
  </si>
  <si>
    <t>0919850214001</t>
  </si>
  <si>
    <t>0983325041</t>
  </si>
  <si>
    <t>queja por variedad de producto</t>
  </si>
  <si>
    <t>GUZMAN LOPEZ JOSE</t>
  </si>
  <si>
    <t xml:space="preserve"> ¿El tiempo de entrega de su producto fue acorde al tiempo ofrecido?</t>
  </si>
  <si>
    <t>Se demoraron más de 3 días en la entrega con respecto a la fecha acordada. No tuvieron la responsabilidad ni la delicadeza de escribirme informándome sobre el retraso. Tuve que escribir yo, y me dejaron colgada en los mensajes, tuve que volver a escribir al día siguiente y finalmente me dijeron que ya estaban listos, sin explicación del retraso, sin una disculpas, sin nada.</t>
  </si>
  <si>
    <t xml:space="preserve">MARIA DELIA VASCONES TERAN  VASCONES TERAN </t>
  </si>
  <si>
    <t>0914992797001</t>
  </si>
  <si>
    <t>0991794672</t>
  </si>
  <si>
    <t>se consultó al local</t>
  </si>
  <si>
    <t>MULLO RODRIGUEZ TATIANA CAROLINA</t>
  </si>
  <si>
    <t>NO me dio a conocer la medias de mis lentes se limito a venderme los marcos, a pesar que le pregunte cuanto esta mi mediada no me respondió . tampo me dio el descuento que esta en la publicadada</t>
  </si>
  <si>
    <t xml:space="preserve">BERTHA ANDRADE   </t>
  </si>
  <si>
    <t>1001839917001</t>
  </si>
  <si>
    <t>0987637365</t>
  </si>
  <si>
    <t>se consultó al local /  quejo xq del local lo recibio muy bien pero luego se fue contenta</t>
  </si>
  <si>
    <t>VILLA CUMBAYA</t>
  </si>
  <si>
    <t>JARAMILLO TAMAYO GENIE JHINGOLA</t>
  </si>
  <si>
    <t>JARAMILLO QUISHPE BYRON ALEXANDER</t>
  </si>
  <si>
    <t>Me gustaria wue puedan asesorar mejor según mi fisionomía</t>
  </si>
  <si>
    <t xml:space="preserve">LUCIA SOTOMAYOR  SOTOMAYOR  </t>
  </si>
  <si>
    <t>1103661813001</t>
  </si>
  <si>
    <t>0987936047</t>
  </si>
  <si>
    <t>queja por falta de asesoría</t>
  </si>
  <si>
    <t>No recibí ninguna información , solo la vi en mi factura</t>
  </si>
  <si>
    <t xml:space="preserve">se devuelve el valor de OLA PLUS </t>
  </si>
  <si>
    <t>Me ofrecieron para el día sábado 24 de enero y estuvieron listos el miércoles 28 de enero</t>
  </si>
  <si>
    <t xml:space="preserve">LENIN  HOUSSE  </t>
  </si>
  <si>
    <t>1711185916</t>
  </si>
  <si>
    <t>0997990418</t>
  </si>
  <si>
    <t>Nunca me explicaron como funciona la garantía del producto. Resultado cambio de las lunas que tuve queasumir yo en un 40% cuando esta demostrado que hubo un defecto en las lunas.</t>
  </si>
  <si>
    <t xml:space="preserve">RENE DE   SOLA QUINTERO </t>
  </si>
  <si>
    <t>1720685914</t>
  </si>
  <si>
    <t>0984879104</t>
  </si>
  <si>
    <t>MOREIRA MACÍAS ROCÍO ANDREINA</t>
  </si>
  <si>
    <t>AYALA SARMIENTO DANIELA STEFANIA</t>
  </si>
  <si>
    <t>Quizo darme el paquete con el filtro de luz azul sin yo solicitarlo</t>
  </si>
  <si>
    <t xml:space="preserve">JOAQUIN  SALAZAR </t>
  </si>
  <si>
    <t>1105796476</t>
  </si>
  <si>
    <t>0968308223</t>
  </si>
  <si>
    <t>Deficiente</t>
  </si>
  <si>
    <t>se le negó la garantía por rayas, le dieron 50% de descuento no está conforme no le explicaron sobre garantías</t>
  </si>
  <si>
    <t>RECREO 2</t>
  </si>
  <si>
    <t>MARTINEZ ALBAN PAULINA</t>
  </si>
  <si>
    <t>Los marcos de los lentes estaban rotos</t>
  </si>
  <si>
    <t xml:space="preserve">PAREDES JACOME  GERMANIA DANIELA </t>
  </si>
  <si>
    <t>0987419915</t>
  </si>
  <si>
    <t>La primera persona que me atendió no me supo explicar correctamente sobre el cambio de las lunas en los lentes usados, el segundo asesor fue pésimo en atención ya hechas las lunas me indica que no se puede cambiar y para terminar cambia las lunas en los Marcos que no son teniendo esperando más de 3 semanas por los lentes</t>
  </si>
  <si>
    <t xml:space="preserve">KERLY YULIANA  APOLO LOAYZA 
</t>
  </si>
  <si>
    <t>0704281294</t>
  </si>
  <si>
    <t>0994466099</t>
  </si>
  <si>
    <t>Deje 3 Marcos 1 perteneciente a mi hija y otro mío y por culpa del asesor hicieron mal el cambio de lunas dejándonos sin lentes hasta la fecha no me entregan</t>
  </si>
  <si>
    <t xml:space="preserve">KERLY YULIANA  APOLO LOAYZA </t>
  </si>
  <si>
    <t>704281294</t>
  </si>
  <si>
    <t>se consultó con el local</t>
  </si>
  <si>
    <t>No recibí información sobre la garantía extendida, únicamente el PDF que me llegó adjunto a la factura. De hecho, me di cuenta que me facturaron el seguro al revisar la factura. No recibí información.</t>
  </si>
  <si>
    <t xml:space="preserve">ISABEL   IDROBO MIÑO 
</t>
  </si>
  <si>
    <t>0503333023</t>
  </si>
  <si>
    <t>0999951121</t>
  </si>
  <si>
    <t>cliente indica que no le informaron sobre la garantía y que cuando le entregaron los lentes tampoco, desea la devolución</t>
  </si>
  <si>
    <t>No puedo ver bien en mis lentes progresivos que compré y el asesor me dijo que ya me he de acostumbrar, sin ni siquiera revisar las medidas y los lentes</t>
  </si>
  <si>
    <t xml:space="preserve">CARLOS ANDRES  CASTELLANOS MOSQUERA </t>
  </si>
  <si>
    <t>1712236353</t>
  </si>
  <si>
    <t>0984605087</t>
  </si>
  <si>
    <t>indicó que no veía, y le dijeron  que la medida está bien, que se debe acostumbrar, va a ir al Portal para revisión</t>
  </si>
  <si>
    <t>VERA SOTO GISELA HIPATIA</t>
  </si>
  <si>
    <t>AGUILAR VELASCO ESTEBAN</t>
  </si>
  <si>
    <t>Si bien el servicio al cliente es muy bueno, los costos que manejan son poco atractivos…</t>
  </si>
  <si>
    <t xml:space="preserve">ANDRES  NEVAREZ HEREDIA </t>
  </si>
  <si>
    <t>1711892073</t>
  </si>
  <si>
    <t>0995416159</t>
  </si>
  <si>
    <t>queja por precio</t>
  </si>
  <si>
    <t>lo entregaron 5 dias mas tarde y ni quiera tuvieron la cortesia de comunicarme que estaban tarde</t>
  </si>
  <si>
    <t xml:space="preserve">ORTIZ ARTURO  YOLANDA ALEXANDRA </t>
  </si>
  <si>
    <t>1707939128</t>
  </si>
  <si>
    <t>0987358905</t>
  </si>
  <si>
    <t>queja por tiempo de entrega</t>
  </si>
  <si>
    <t>Lo lenes proresivos que me entregaron funcionan muy mal. La optica los tiene para revisar… habra que ver que me dien. Aun no tengo respuesta.</t>
  </si>
  <si>
    <t>FRANCISCO PONS ZEVALLOS</t>
  </si>
  <si>
    <t>0908579071</t>
  </si>
  <si>
    <t>0999489366</t>
  </si>
  <si>
    <t>el local si hizo la rectificación, lo vio el Dr. Julio se cambia a lente de cerca y se devuelve la diferencia.</t>
  </si>
  <si>
    <t>No recibí eso</t>
  </si>
  <si>
    <t xml:space="preserve">ESTEFANIA  JARRIN </t>
  </si>
  <si>
    <t>1716790819</t>
  </si>
  <si>
    <t>0998170508</t>
  </si>
  <si>
    <t>Fueron 5 días no 3</t>
  </si>
  <si>
    <t>No me dieron ninguna explicación</t>
  </si>
  <si>
    <t xml:space="preserve">ANDRES  ANDRADE </t>
  </si>
  <si>
    <t>1718315656</t>
  </si>
  <si>
    <t>0999418012</t>
  </si>
  <si>
    <t>entregaron sin explicar el uso</t>
  </si>
  <si>
    <t>MALL EL JARDÍN</t>
  </si>
  <si>
    <t>porque no dan ningúna informacion, yo el lunes anterior es decir el 2 de febrero fui a que me realicen una marcos y lunas y me costo una cantidad inmensa y dese ahi hasta ahora no me indican nada, creo que debo ir a la optica a preguntar cuando me entregan</t>
  </si>
  <si>
    <t xml:space="preserve">LUIS FERNANDO  GUAMAN OLIPA 
</t>
  </si>
  <si>
    <t>1707611925</t>
  </si>
  <si>
    <t xml:space="preserve">0983357128
</t>
  </si>
  <si>
    <t>se consultó al local / cliente retiró los lentes y no dijo nada en el local</t>
  </si>
  <si>
    <t xml:space="preserve"> PASEO SHOPPING PORTOVIEJO</t>
  </si>
  <si>
    <t>No se me asesoró ni del cuidado ni de la garantía</t>
  </si>
  <si>
    <t xml:space="preserve">JUAN ANTONIO  MARTINEZ FALAGAN </t>
  </si>
  <si>
    <t>0962146585</t>
  </si>
  <si>
    <t>0962891758</t>
  </si>
  <si>
    <t>no dio información sobre cuidado, ni garantía</t>
  </si>
  <si>
    <t>PALMA QUIMIS NOEMI ROSALIA</t>
  </si>
  <si>
    <t>Validarlo como 0. Productos que no sirven. Se rayan de la nada.</t>
  </si>
  <si>
    <t xml:space="preserve">JOHN PAUL  BOCANEDES TUMBACO </t>
  </si>
  <si>
    <t>1311510497</t>
  </si>
  <si>
    <t>0963807773</t>
  </si>
  <si>
    <t>cliente se comunica por correo no aplica para devolución, indicó que hizo una demanda a la espera del documento</t>
  </si>
  <si>
    <t>ALMACHE JARAMILLO STALIN ALEXIS</t>
  </si>
  <si>
    <t>Muy mal trabajo de laboratorio e incumplimiento de entrega</t>
  </si>
  <si>
    <t xml:space="preserve">FRANCISCO MIGUEL  PONCE PALACIOS </t>
  </si>
  <si>
    <t>1702369214</t>
  </si>
  <si>
    <t>0993372372</t>
  </si>
  <si>
    <t>se consultó al local / local envió mensaje para que retire los lentes</t>
  </si>
  <si>
    <t>Los lentes mal hechos, en tres ocasiones no me han cumplido con las medidas correctas</t>
  </si>
  <si>
    <t>se hizo rectificación y ya quedó bien</t>
  </si>
  <si>
    <t>Pésimo servicio al cliente</t>
  </si>
  <si>
    <t xml:space="preserve">CARLA  BECERRA PINGUIL </t>
  </si>
  <si>
    <t>1726063694</t>
  </si>
  <si>
    <t>0963963315</t>
  </si>
  <si>
    <t>queja por mala asesoría/  se devuelve OLA PLUS</t>
  </si>
  <si>
    <t>Pésimo producto</t>
  </si>
  <si>
    <t>No cobran por la garantía muy caro y el producto no es bueno</t>
  </si>
  <si>
    <t xml:space="preserve"> BOSQUE 4</t>
  </si>
  <si>
    <t>me hicieron ir cuando todavia no estaban listos y despues para el segundo par no me avisaron, tuve que yo consultar. Ademas, me deberian haber mencionado que si hacia la compra por separado de los 2 pares tendria un beneficio que me llego despues de la compra.</t>
  </si>
  <si>
    <t xml:space="preserve">CARLOS   PERALTA 
</t>
  </si>
  <si>
    <t xml:space="preserve">1710549609
</t>
  </si>
  <si>
    <t>0998374305</t>
  </si>
  <si>
    <t>queja por mala asesoría</t>
  </si>
  <si>
    <t>RIOCENTRO LOS CEIBOS 2</t>
  </si>
  <si>
    <t>JARAMILLO VERA MARIA CAROLINA</t>
  </si>
  <si>
    <t>SANCHEZ SIFUENTES MIRIAN</t>
  </si>
  <si>
    <t>Estaba mal hecha la medida, he tenido que ir 4 veces para que me reciban los lentes y ingresen el reclamo de incomodidad visual. Llevo una semana esperando que me llamen o me escriban con alguna actualización del reclamo. Sigo esperando mis lentes.</t>
  </si>
  <si>
    <t xml:space="preserve">BERNARDO  MEITZNER </t>
  </si>
  <si>
    <t>0999382695</t>
  </si>
  <si>
    <t>ya fue al local, mejoró la atención está a la espera de los nuevos lentes (no fue el mismo asesor de la venta)</t>
  </si>
  <si>
    <t>BARRERA JARAMILLO YADIRA MARIBEL</t>
  </si>
  <si>
    <t>No tuve una atención de calidad no le entregaron los dos pares de lentes al mismo tiempo no fueron claros con las indicaciones</t>
  </si>
  <si>
    <t xml:space="preserve">CRIOLLO ALVAREZ  NANCY PAULINA </t>
  </si>
  <si>
    <t>1715425185</t>
  </si>
  <si>
    <t>0983862095</t>
  </si>
  <si>
    <t xml:space="preserve"> ¿Qué tan satisfecho está con la explicación que le dio el asesor respecto a la garantía extendida?</t>
  </si>
  <si>
    <t>No me explicaron sobre la garantía sólo me cobraron</t>
  </si>
  <si>
    <t xml:space="preserve">DANIELA ALEJANDRA  ESPINOZA VILLAGOMEZ </t>
  </si>
  <si>
    <t>0981618462</t>
  </si>
  <si>
    <t>PASEO SHOPPING SANTO DOMINGO</t>
  </si>
  <si>
    <t>HERRERA OSSA MEGAN SHAEL</t>
  </si>
  <si>
    <t>MORALES SUAREZ MARIA JOSE</t>
  </si>
  <si>
    <t>Me mandé hacer unas gafas polarizadas y despejadas con prescripción porque trabajo en el mar pero sentí que la asesoría pudo ser mejor, tal vez que tuvieran más información para haberme dado mejor recomendación del tipo de gafa, tal vez qué color de espejado era más apropiado igual que polarizado, porque los colores son según el uso</t>
  </si>
  <si>
    <t xml:space="preserve">EVA JOSELYN CAISAGUANO FREIRE   </t>
  </si>
  <si>
    <t>2300247307001</t>
  </si>
  <si>
    <t>0993041759</t>
  </si>
  <si>
    <t>no contestó / queja por falta de asesoría</t>
  </si>
  <si>
    <t>No me entregan ni dicen nada</t>
  </si>
  <si>
    <t xml:space="preserve">HERNAN ALEXANDER  CHERRES ANDAGOYA </t>
  </si>
  <si>
    <t>0200767440</t>
  </si>
  <si>
    <t>0997474077</t>
  </si>
  <si>
    <t>consulta con el local por entrega / a la fecha de la llamada no se entregan y enviaron un mensaje</t>
  </si>
  <si>
    <t>No me dijo nada, solo me entregó y se disculpó porque nunca me llamaron ni me mandaron mensaje para avisarme que mis lentes estaban listos, pasaron mas de 2 semanas</t>
  </si>
  <si>
    <t xml:space="preserve">CORDOVA DAVALOS  XIMENA ALEXANDRA  </t>
  </si>
  <si>
    <t>1707562391</t>
  </si>
  <si>
    <t>0999724275</t>
  </si>
  <si>
    <t>queja por tiempo de entrega / si se disculpó el local</t>
  </si>
  <si>
    <t>Me dijeron de 7 a 10 dias laborables pero nunca me llamaron a avisarme que estaba ahi mis lentes</t>
  </si>
  <si>
    <t>PERERO MAGALLAN TANIA</t>
  </si>
  <si>
    <t xml:space="preserve">M2 </t>
  </si>
  <si>
    <t>Me dijeron que el sábado y no se comunicaron conmigo nunca, tuve que escribir a atención para preguntar si estaban listos. Los retiré el lunes.</t>
  </si>
  <si>
    <t xml:space="preserve">EDGAR VICENTE  MEZA VERA 
</t>
  </si>
  <si>
    <t>1208174126</t>
  </si>
  <si>
    <t>0962124294</t>
  </si>
  <si>
    <t>Las 2 chicas, la que nos atendió y la Dra. nada carismáticas.</t>
  </si>
  <si>
    <t xml:space="preserve">MARIA ROSARIO  MONTERO </t>
  </si>
  <si>
    <t>0200309599</t>
  </si>
  <si>
    <t>0992015743</t>
  </si>
  <si>
    <t>teléfono apagado</t>
  </si>
  <si>
    <t>AUZ MORALES FABIAN ANDRES</t>
  </si>
  <si>
    <t>Precios elevados y no te dan líquido para limpiar lentes</t>
  </si>
  <si>
    <t xml:space="preserve">STEPHANI  LOPEZ </t>
  </si>
  <si>
    <t>1717555849</t>
  </si>
  <si>
    <t>0998539770</t>
  </si>
  <si>
    <t>queja por no dar obsequio</t>
  </si>
  <si>
    <t>Me vendieron unos lentes de baja calidad antes y me tocó compra otros</t>
  </si>
  <si>
    <t>LAGLA CARRION ALEX</t>
  </si>
  <si>
    <t>Siento que no es medida de lente,</t>
  </si>
  <si>
    <t xml:space="preserve">MARIANA CARLA  PIZARRO ORTIZ </t>
  </si>
  <si>
    <t>1713862058</t>
  </si>
  <si>
    <t>0995974211</t>
  </si>
  <si>
    <t>La atención del comercial fue pésima. Inicialmente me dio un precio y luego me subió 46 dólares al costo y cuando le pedí explicación golpeó el escritorio y contestó de forma irónica dándome la información; por arte de magia luego me dijo que tenía de regalo unas gafas que se aproximaba al mismo costo que me subió el precio, no comprendo porqué me facturó antireflejo si eso no le pedí. Accedí a la compra con todas estas molestias porque sé que el producto es bueno y necesito urgente para mis clases de manejo. Espero puedan dar oído a mi requerimiento ya que a mi hermano le ofreció beneficios en otra ocasión y no fueron cumplidos. Adicional a ello me dijo que si me mandaba a hacer las lunas me entregaban el día miercoles 18 de febrero es decir luego del feriado del carnaval, sin emabargo, cuando ya cancelé me dijo que son 5 días hábiles contando desde el 18 de febrero. Pésima comercial.</t>
  </si>
  <si>
    <t xml:space="preserve">DIANA   SALAS  </t>
  </si>
  <si>
    <t>1720547627</t>
  </si>
  <si>
    <t>0983070305</t>
  </si>
  <si>
    <t>no contestó / local pidió datos y que revisemos cámaras ya que no se hizo lo que la cliente indica</t>
  </si>
  <si>
    <t>CASTILLO SIMBAÑA NANCY ANDREA</t>
  </si>
  <si>
    <t>Tuve inconvenientes a la entrega de los lentes</t>
  </si>
  <si>
    <t xml:space="preserve">DELIA GUADALUPE  CHICAIZA TUBON </t>
  </si>
  <si>
    <t>1711741882</t>
  </si>
  <si>
    <t>0997938948</t>
  </si>
  <si>
    <t>no quiso hablar</t>
  </si>
  <si>
    <t>Los precios son un poco altos</t>
  </si>
  <si>
    <t xml:space="preserve">HERNÁN ESTUARDO  SALTOS ÁLVAREZ </t>
  </si>
  <si>
    <t>0200368785</t>
  </si>
  <si>
    <t>0999668182</t>
  </si>
  <si>
    <t>CASTILLO JARAMILLO GISSELA MARGARITA</t>
  </si>
  <si>
    <t>Tenía una semana esperando y si yo no me comunico via telefónica ellos no me llama. Avisar que los lentes están listos</t>
  </si>
  <si>
    <t xml:space="preserve">FREDERICK   MIRANDA  
</t>
  </si>
  <si>
    <t>0925781726</t>
  </si>
  <si>
    <t>0980227509</t>
  </si>
  <si>
    <t>PASEO DURAN OUTLET</t>
  </si>
  <si>
    <t>AREVALO GÓMEZ EMILY</t>
  </si>
  <si>
    <t>Me indicaron que me llegaría un mensaje de texto para que me acerque a retirar, sin embargo, nunca llegó ese msj y tuve que ir después a retirarlos.</t>
  </si>
  <si>
    <t xml:space="preserve">FRANKLIN BYRON  RONQUILLO PILLAJO 
</t>
  </si>
  <si>
    <t>0924066269</t>
  </si>
  <si>
    <t>0996299431</t>
  </si>
  <si>
    <t>SALAS MONTALVO ALEX PATRICIO</t>
  </si>
  <si>
    <t xml:space="preserve"> 1. Adquirí 2 lentes, 1 de ellos me pusieron en otro marco que no fue el que solicité (fui de lejos de Conocoto al Scala y resulta que se equivocaron y no pude retirar los 2 lentes) 2. El tema del desglose de productos en la factura es extraño me salían valores de productos que no había pedido y su respuesta fue "así sale en el sistema pero el valor es el mismo". Siento que me cobraron cosas que no pedí.</t>
  </si>
  <si>
    <t xml:space="preserve">GISSELLE  LLERENA VELASTEGUI 
</t>
  </si>
  <si>
    <t>1717394793</t>
  </si>
  <si>
    <t>0999000818</t>
  </si>
  <si>
    <t>indicó que le dijeron que los paños eran obligatorios, se devuelve el valor de paños</t>
  </si>
  <si>
    <t>El chico tenía buena intención de ayudar pero creo que el sistema no le servía porque estuve un montón de tiempo hasta que me facture porque algo no servía. Preguntaba a sus compañeros y la verdad se nota que no hay compañerismo ni capacitación para servicio al cliente porque no le ayudaban a solucionar (y estaban sin hacer nada)</t>
  </si>
  <si>
    <t xml:space="preserve">GISSELLE  LLERENA VELASTEGUI </t>
  </si>
  <si>
    <t xml:space="preserve">0999000818
</t>
  </si>
  <si>
    <t>Osea solo me dijo que si hacia lunas y los marcos tenía la garantía</t>
  </si>
  <si>
    <t>0999000819</t>
  </si>
  <si>
    <t>MALL DEL PACIFICO MANTA 2</t>
  </si>
  <si>
    <t>VELEZ ALCIVAR TABATA NICOLLE</t>
  </si>
  <si>
    <t>PARRALES CHAVEZ MARIA JOSE</t>
  </si>
  <si>
    <t>Ni me explicaron de tiempos de garantía</t>
  </si>
  <si>
    <t xml:space="preserve">MICHELE  BERMEO MACIAS </t>
  </si>
  <si>
    <t>1311849507</t>
  </si>
  <si>
    <t>0939824886</t>
  </si>
  <si>
    <t>CHUNCHA MARTÍNEZ ALEX MAURICIO</t>
  </si>
  <si>
    <t>Faltan modelos mas actualizados</t>
  </si>
  <si>
    <t xml:space="preserve">PABLO ANTONIO  CRESPO VINTIMILLA </t>
  </si>
  <si>
    <t>0100702364</t>
  </si>
  <si>
    <t>0992179577</t>
  </si>
  <si>
    <t>Tuve que comunicarse para saber si ya estan mis lentes</t>
  </si>
  <si>
    <t xml:space="preserve">SILVIA  POAQUIZA </t>
  </si>
  <si>
    <t>0502864564</t>
  </si>
  <si>
    <t>0992917850</t>
  </si>
  <si>
    <t>Se tomaron 3 o 4 días más.</t>
  </si>
  <si>
    <t xml:space="preserve">AREVALO ALAVA  ALEJANDRO SOCRATES </t>
  </si>
  <si>
    <t>1712915675</t>
  </si>
  <si>
    <t>0995904992</t>
  </si>
  <si>
    <t>RODRÍGUEZ TORRES CHRISTIAN RAMÓN</t>
  </si>
  <si>
    <t>Me atendieron bien pero me cobraron un kit de limpieza q no mendieron</t>
  </si>
  <si>
    <t xml:space="preserve">SARA   MOLINA OLIVO </t>
  </si>
  <si>
    <t>0923410799</t>
  </si>
  <si>
    <t>0990113101</t>
  </si>
  <si>
    <t>No me gustaron, pero me atendieron muy bien y los van a cambiar. Por eso pongo 5. Al principio pusiera 1. Pero ya que los van a cambiar pusiera 10</t>
  </si>
  <si>
    <t xml:space="preserve">FRANCISCO   PONS ZEVALLOS 
</t>
  </si>
  <si>
    <t>indica que ya hicieron el cambio y está a la espera</t>
  </si>
  <si>
    <t>ARGADOBAY SALTOS GENESIS NICOLE</t>
  </si>
  <si>
    <t>No meentregan todo el pedido ya vamos a 15 dias</t>
  </si>
  <si>
    <t xml:space="preserve">MURILLO PAEZ  DANIEL ROBERTO </t>
  </si>
  <si>
    <t>1717246043</t>
  </si>
  <si>
    <t>0982216140</t>
  </si>
  <si>
    <t xml:space="preserve">Creo que hubo una confusión, me dijeron que probablemente este ese mismo viernes o lunes. Sin embargo la entrega fue el miércoles de la siguiente semana.
</t>
  </si>
  <si>
    <t xml:space="preserve">ROMERO VILLAMAGUA DUNIA CATHERINE   </t>
  </si>
  <si>
    <t>0702841610001</t>
  </si>
  <si>
    <t>0996337658</t>
  </si>
  <si>
    <t>CCI 2</t>
  </si>
  <si>
    <t>Manosalvas Aldas Erika</t>
  </si>
  <si>
    <t>Después de realizar la compra me indico de los lentes de contacto jjjjj</t>
  </si>
  <si>
    <t xml:space="preserve">LOURDES ELIZABETH  CARRION BELISACA </t>
  </si>
  <si>
    <t>1105225120</t>
  </si>
  <si>
    <t>0993642195</t>
  </si>
  <si>
    <t>RUBIO STEINEBACHER WILLIAM</t>
  </si>
  <si>
    <t>Se demoraron y dijeron que nos hiban a llamar para avisarnos cuando ya esté. No nos avisaron</t>
  </si>
  <si>
    <t xml:space="preserve">ALVARADO LEÓN EDWIN PATRICIO  ALVARADO LEÓN </t>
  </si>
  <si>
    <t>1103222707001</t>
  </si>
  <si>
    <t>0985518421</t>
  </si>
  <si>
    <t>TARDARON 5 DÍAS MÁS A LA FECHA INDICADA, DE HECHO DE LOS 3 LENTES QUE SE ADQUIRIRON SOLO 2 FUERON ENTREGADOS EN LA FECHA INDICADA</t>
  </si>
  <si>
    <t xml:space="preserve">CRISTINA  CALISTO </t>
  </si>
  <si>
    <t>1715909980</t>
  </si>
  <si>
    <t>0987911151</t>
  </si>
  <si>
    <t>No hubo una buena comunicacion acerca de cuando mismo me entregaban el producto. se demoraron 1 dia mas de lo que me ofrecieron y no me avisaron oportunamente</t>
  </si>
  <si>
    <t xml:space="preserve">VASQUEZ CERVANTES  LUIS FELIPE </t>
  </si>
  <si>
    <t>1724161045</t>
  </si>
  <si>
    <t>0986377934</t>
  </si>
  <si>
    <t>Se demoraron unos pocos días mas de lo que me ofrecieron</t>
  </si>
  <si>
    <t xml:space="preserve">FERNANDO ENRIQUE  LEON LOZA </t>
  </si>
  <si>
    <t>1708587447</t>
  </si>
  <si>
    <t>0990541308</t>
  </si>
  <si>
    <t>RIOS SANCHEZ HECTOR ARTURO</t>
  </si>
  <si>
    <t>Se demoran mucho dias en tregar los lentes</t>
  </si>
  <si>
    <t xml:space="preserve">ROBERT STEEVEN  PERALTA MIRABA </t>
  </si>
  <si>
    <t>0706829595</t>
  </si>
  <si>
    <t>0998966793</t>
  </si>
  <si>
    <t xml:space="preserve">SAN LUIS </t>
  </si>
  <si>
    <t>No me dieron estuche de mis gafas</t>
  </si>
  <si>
    <t xml:space="preserve">ANA GRACE  CISNEROS GUTIERREZ </t>
  </si>
  <si>
    <t>1714143730</t>
  </si>
  <si>
    <t>0984120068</t>
  </si>
  <si>
    <t>las gafas en ciertas marcas no tienen estuche</t>
  </si>
  <si>
    <t>Venta de seguro sin consentimiento El armazón enterado fue el mismo de exhibición</t>
  </si>
  <si>
    <t xml:space="preserve">LOPEZ GUERRERO  FERNANDO ANDRES </t>
  </si>
  <si>
    <t>1803427598</t>
  </si>
  <si>
    <t>0995813770</t>
  </si>
  <si>
    <t>se dio cuenta el momento de la facturación y pidió el reservo, si le contaban de que se trataba si lo contrataba</t>
  </si>
  <si>
    <t xml:space="preserve"> INGA ALVAREZ MARCO ALEJANDRO</t>
  </si>
  <si>
    <t>incumplimiento de fechas ofrecidas y de garantía</t>
  </si>
  <si>
    <t xml:space="preserve">ZURITA PUENTE  MARIA GABRIELA </t>
  </si>
  <si>
    <t>1713998126</t>
  </si>
  <si>
    <t>0998753870</t>
  </si>
  <si>
    <t>queja por tiempo de entrega y asesoría</t>
  </si>
  <si>
    <t>ARTEAGA PAREDES ALEX RICARDO</t>
  </si>
  <si>
    <t>Se debe explicar mejor los detalles que se está pagando, no supieron explicar bien por lo que se está pagando, el tiempo de espera es muy largo, en la tienda física dijeron que de 3 -5 días y por línea dicen de 5-7 días, cuando los necesito de urgencia</t>
  </si>
  <si>
    <t xml:space="preserve">MANUEL  MORALES </t>
  </si>
  <si>
    <t>1703611101</t>
  </si>
  <si>
    <t>0995129703</t>
  </si>
  <si>
    <t>No hacen bien</t>
  </si>
  <si>
    <t>AEROPUERTO OUTLET</t>
  </si>
  <si>
    <t>HERRERA ANDINO JOSE SHANDE</t>
  </si>
  <si>
    <t>Mala información</t>
  </si>
  <si>
    <t xml:space="preserve">ROSA  SANTANA </t>
  </si>
  <si>
    <t>1206895359</t>
  </si>
  <si>
    <t>0999255757</t>
  </si>
  <si>
    <t>PURUHA</t>
  </si>
  <si>
    <t>OPTOMETRA PURUHA</t>
  </si>
  <si>
    <t>ASESOR PURUHA</t>
  </si>
  <si>
    <t>Se debe mejorar la atención y proactividad, no se siente una preocupación lo que necesita el cliente se siente una actitud si compra bien si no también, hasta se ve una pereza por mostrar los lentes a los clientes</t>
  </si>
  <si>
    <t xml:space="preserve">JONATHAN ABRAHAM  CHANDI SANTACRUZ </t>
  </si>
  <si>
    <t>1718212861</t>
  </si>
  <si>
    <t>0958846669</t>
  </si>
  <si>
    <t>queja por asesoría</t>
  </si>
  <si>
    <t>Marzo</t>
  </si>
  <si>
    <t>CONDOR VILLALBA MARIA JOSE</t>
  </si>
  <si>
    <t>La facturación es desastrosa, duplican rubros y la comunicación entre compañeros es pásima</t>
  </si>
  <si>
    <t xml:space="preserve">ORLANDO ENVER  VALLADARES TOAPANTA </t>
  </si>
  <si>
    <t>1717980443</t>
  </si>
  <si>
    <t>0983752502</t>
  </si>
  <si>
    <t>cliente indicó que se duplica se explicó que se factura por lunas y ya no quiso hablar más</t>
  </si>
  <si>
    <t xml:space="preserve"> MOREIRA MACÍAS ROCÍO ANDREINA</t>
  </si>
  <si>
    <t>LINDAO GOMEZ KEVIN EDUARDO</t>
  </si>
  <si>
    <t>Pésimo servicio. Hice una inversión importante de 530 en lentes y me vendieron una garantía extendida que NO solicité. Proceso poco transparente y pésima forma de comunicar el precio. No está bien aprovecharse del cliente de esa manera.</t>
  </si>
  <si>
    <t xml:space="preserve">JOSE EDUARDO  SUAREZ CARDENAS </t>
  </si>
  <si>
    <t>0105444004</t>
  </si>
  <si>
    <t>0987682737</t>
  </si>
  <si>
    <t>HIPER DAULE</t>
  </si>
  <si>
    <t>CHIGUANO QUIJIJE PAULA</t>
  </si>
  <si>
    <t>me dañaron mis marcos</t>
  </si>
  <si>
    <t xml:space="preserve">JORGE ENRIQUE QUIMIS QUIMIS  QUIMIS QUIMIS </t>
  </si>
  <si>
    <t>0919024166001</t>
  </si>
  <si>
    <t>0994155123</t>
  </si>
  <si>
    <t>se consultó al local / los marcos del señor estaban abiertos, las varillas estaban abiertas, el lente tenía dos años, el cliente iba a llevar solo lunas y el señor pide ajuste y se trizó, le explicaron todo y compró otro</t>
  </si>
  <si>
    <t>Nunca me dijo que era opcional, simplemente me dijo que tenia garantia y me di cuenta cuando me entregaron la factura que esto tenia costo.</t>
  </si>
  <si>
    <t xml:space="preserve">ESCANDON CEVALLOS  FIDEL ERNESTO 
</t>
  </si>
  <si>
    <t>1712603495</t>
  </si>
  <si>
    <t>0998535649</t>
  </si>
  <si>
    <t>El 26 de febrero compré unas jafas y los vendedores nunca me dijeron que estaban en promoción de 2 jafas por el precio de una. Además no me dieron ningún descuento</t>
  </si>
  <si>
    <t xml:space="preserve">DROUET MANTILLA  WILLIAN RENE </t>
  </si>
  <si>
    <t>1707634869</t>
  </si>
  <si>
    <t>0985682192</t>
  </si>
  <si>
    <t>cliente indica que es amigo de CS y ni con eso le dieron otro descuento, va a ir al local para la promoción de gafa gratis</t>
  </si>
  <si>
    <t>GALARZA GUTIERREZ RAUL EMILIO</t>
  </si>
  <si>
    <t>NEVAREZ SOLANO JESSICA MABE</t>
  </si>
  <si>
    <t>entiendo que el trabajo del optometra sea vender tbn pero lo senti muy comercial mas que preocupado por la salud visual fue mas comercial</t>
  </si>
  <si>
    <t xml:space="preserve">YENCY LORENA  CORTES RODRIGUEZ </t>
  </si>
  <si>
    <t>1715257513</t>
  </si>
  <si>
    <t>0995093188</t>
  </si>
  <si>
    <t>PAREDES CHIQUIZA ARACELY MISHEL</t>
  </si>
  <si>
    <t>Alguna vez me cobraron una “consulta oftalmologica” y pedí algún tipo de explicación y nadie supo dármela. Tienen promociones supuestamente vigentes pero si no es como la persona que te atienden quiere no te la aplican. Y se molestan si uno quiere o busca unos lentes a gusto personal y a las capacidades propias del usuario</t>
  </si>
  <si>
    <t xml:space="preserve">GUILLERMO ADOLFO  PROCEL OCHOA </t>
  </si>
  <si>
    <t>1750236141</t>
  </si>
  <si>
    <t>0963293661</t>
  </si>
  <si>
    <t>se tomó muy poco tiempo y no recomendó nada</t>
  </si>
  <si>
    <t xml:space="preserve">JORGE ENRIQUE  BRAVO BASTIDAS </t>
  </si>
  <si>
    <t>0501515787</t>
  </si>
  <si>
    <t>0993535793</t>
  </si>
  <si>
    <t>MALL DEL SOL 1</t>
  </si>
  <si>
    <t>Pésimo servicio al cliente. Pésimo y fallosos lentes o técnicos incompetentes. Mentirosos y hacen promesas falsas</t>
  </si>
  <si>
    <t xml:space="preserve">DANILO IVAN  NARANJO VEGA </t>
  </si>
  <si>
    <t>0908847486</t>
  </si>
  <si>
    <t>0969211336</t>
  </si>
  <si>
    <t>ANDRADE LOPEZ GABRIELA SALOME</t>
  </si>
  <si>
    <t>se informó de manera errónea el seguro</t>
  </si>
  <si>
    <t xml:space="preserve">RENE ANTONIO  BELTRAN AVILES </t>
  </si>
  <si>
    <t>1709333767</t>
  </si>
  <si>
    <t>0982591993</t>
  </si>
  <si>
    <t>INSTITUCIONES QUITO</t>
  </si>
  <si>
    <t>ENCALADADA PABLO JAVIER</t>
  </si>
  <si>
    <t>TIPANTUÑA RAMOS CARLOS ALEXANDER</t>
  </si>
  <si>
    <t>Hubo un retraso en la entrega</t>
  </si>
  <si>
    <t xml:space="preserve">LESSCORR ADVISORY &amp; ASSURANCE SERVICES S.A. .   </t>
  </si>
  <si>
    <t>1793069681001</t>
  </si>
  <si>
    <t>0996568269</t>
  </si>
  <si>
    <t xml:space="preserve"> La atención del asesor con respecto a la explicación del cuidado y la garantía del producto fue:</t>
  </si>
  <si>
    <t>Poco comunicativo</t>
  </si>
  <si>
    <t xml:space="preserve">DOMINGUEZ BORJA  LILIANA IVETH </t>
  </si>
  <si>
    <t>0915555247</t>
  </si>
  <si>
    <t>0967587247</t>
  </si>
  <si>
    <t>CUBILLOS ARBOLEDA HAROLD</t>
  </si>
  <si>
    <t>Compré en Diciembre 2025 los lentes más caros en Óptica los Andes es decir transición, tecnología IA y otros , hasta el día de hoy 11 de marzo 2026 no me entregan una solución es decir lentes a mi medida, tampoco tengo respuesta alguna de OLA, voy a pedir a mis abogados que intervengan judicialmente.</t>
  </si>
  <si>
    <t xml:space="preserve">JIJON PALOMEQUE  FIDEL CARLOS </t>
  </si>
  <si>
    <t>1705315776</t>
  </si>
  <si>
    <t>0998019852</t>
  </si>
  <si>
    <t>cliente solicitó devolución</t>
  </si>
  <si>
    <t>Llevo 2 meses sin los lentes a pesar de haberlos comprado, me hicieron mal las lunas y llevo más de un mes en el cambio</t>
  </si>
  <si>
    <t>se consultó al local /  ya se entregaron los lente</t>
  </si>
  <si>
    <t>RIOCENTRO 6 DE DIC OLA</t>
  </si>
  <si>
    <t>SEGARRA CUEVA RICARDO ISMAEL</t>
  </si>
  <si>
    <t>CHIRIBOGA GOYES DAYANA ANNABEL</t>
  </si>
  <si>
    <t>la atencion no es muy buena</t>
  </si>
  <si>
    <t xml:space="preserve">FABRICIO   CORRALES  </t>
  </si>
  <si>
    <t>1709928905</t>
  </si>
  <si>
    <t>0992739981</t>
  </si>
  <si>
    <t>No estoy conforme con eltrabajo</t>
  </si>
  <si>
    <t>La primera optometra me hizo apurada y mal el examen</t>
  </si>
  <si>
    <t>la medida se hizo mal en el condado, fue al Portal y se solucionó, todo el drama fue en el condado</t>
  </si>
  <si>
    <t>SANCHEZ ZAMBRANO BETTY</t>
  </si>
  <si>
    <t>No tuve una buena experiencia</t>
  </si>
  <si>
    <t xml:space="preserve">MARIA  GONZALEZ  </t>
  </si>
  <si>
    <t>0930004544</t>
  </si>
  <si>
    <t>0990949977</t>
  </si>
  <si>
    <t>indica que pidió una nueva montura porque la que escogío llegó chueca, local aun no responde / local ya se comunicó con la cliente</t>
  </si>
  <si>
    <t>La atencion de la optometra brillante muy linda y muy profesional calida pero la que cobro con cara de madrastra sin actitud de servicio pesima la sra</t>
  </si>
  <si>
    <t xml:space="preserve">ELIANA PAOLA  MOYANO LUCIO </t>
  </si>
  <si>
    <t>0201940897</t>
  </si>
  <si>
    <t>0969417260</t>
  </si>
  <si>
    <t>METRORED CAROLINA_</t>
  </si>
  <si>
    <t>CAMACHO GUERRERO JENNY JACQUELINE</t>
  </si>
  <si>
    <t>BOLAÑOS ABARCA DOMENICA PATRICIA</t>
  </si>
  <si>
    <t>Es algo costoso</t>
  </si>
  <si>
    <t xml:space="preserve">ESTELA GEOVANNA  CHIPANTASI IBAÑEZ </t>
  </si>
  <si>
    <t>1725568016</t>
  </si>
  <si>
    <t>0993593568</t>
  </si>
  <si>
    <t>No se me dijo que era opcional el seguro</t>
  </si>
  <si>
    <t xml:space="preserve">DAVID  JARAMILLO </t>
  </si>
  <si>
    <t>1718866534</t>
  </si>
  <si>
    <t>0984848549</t>
  </si>
  <si>
    <t>TORRES CUSME ALISSON</t>
  </si>
  <si>
    <t>Calderon Ramirez Claudia Sofia</t>
  </si>
  <si>
    <t>Muy insatisfecho sebidoa que no se mencionó que tenía un costo adicional, por loq ue notome la garantía de manera consciente, pues, cuando la ofrecieron pareciera que está incluida</t>
  </si>
  <si>
    <t xml:space="preserve">DALIA  ALARCON </t>
  </si>
  <si>
    <t>1762001699</t>
  </si>
  <si>
    <t>0993812207</t>
  </si>
  <si>
    <t>El asesor no fue empático</t>
  </si>
  <si>
    <t xml:space="preserve">LILET   RUEDA </t>
  </si>
  <si>
    <t>1707285308</t>
  </si>
  <si>
    <t>0992667519</t>
  </si>
  <si>
    <t>No me sentí cómoda con mis nuevos lentes</t>
  </si>
  <si>
    <t xml:space="preserve">SARA ELIZABETH  YUGCHA SARMIENTO </t>
  </si>
  <si>
    <t>0302374566</t>
  </si>
  <si>
    <t>0994648194</t>
  </si>
  <si>
    <t>IBARRA PLAZA</t>
  </si>
  <si>
    <t>DURAND REINAGA JOHN</t>
  </si>
  <si>
    <t>MONTENEGRO SANCHEZ JENNY GABRIELA</t>
  </si>
  <si>
    <t>Se demora mucho tiempo en la entrega</t>
  </si>
  <si>
    <t xml:space="preserve">DOMINIQUE ALEXANDRA  MORAN SANTAFE </t>
  </si>
  <si>
    <t>1003380589</t>
  </si>
  <si>
    <t>0997866281</t>
  </si>
  <si>
    <t>DEL VALLE TRIVIÑO YEX</t>
  </si>
  <si>
    <t>fue minimo</t>
  </si>
  <si>
    <t xml:space="preserve">LOPEZ MAYORGA  BYRON JAVIER </t>
  </si>
  <si>
    <t>1801450170</t>
  </si>
  <si>
    <t>0991961132</t>
  </si>
  <si>
    <t>no hubo asesoría, le dijeron ahí están escoja, en otros locales te ayudan</t>
  </si>
  <si>
    <t>MUÑOZ FERRUZOLA NORMA ESPERANZA</t>
  </si>
  <si>
    <t>Nuestra compra no fue acondicionada a lo que pedimos al momento de entregar los datos de lo que queríamos que era darnos uno igual al anterior que mantenía</t>
  </si>
  <si>
    <t xml:space="preserve">DIAZ CASTILLO  PABLO ROGELIO </t>
  </si>
  <si>
    <t>0904073574</t>
  </si>
  <si>
    <t>Los precios son muy caros para la atención que uno recibe, comparado con otros lugares es mucho más costoso, y uno piensa que la atención va a ser mejor, pero no</t>
  </si>
  <si>
    <t xml:space="preserve">MARIA PAZ SUAREZ BARRIGA   </t>
  </si>
  <si>
    <t>1725204018001</t>
  </si>
  <si>
    <t>0989041949</t>
  </si>
  <si>
    <t>No me explicó</t>
  </si>
  <si>
    <t xml:space="preserve">MARIA TERESA  ULLOA MOYA </t>
  </si>
  <si>
    <t>1800255083</t>
  </si>
  <si>
    <t>0984427337</t>
  </si>
  <si>
    <t>DIAZ MACIAS ANA LUCIA</t>
  </si>
  <si>
    <t>No estoy conforme con la medida del ojo derecho</t>
  </si>
  <si>
    <t xml:space="preserve">FERNANDO  CASTRO BARBA </t>
  </si>
  <si>
    <t>1711015790</t>
  </si>
  <si>
    <t>0999665134</t>
  </si>
  <si>
    <t>No recibí todas las instrucciones de parte de optometra</t>
  </si>
  <si>
    <t xml:space="preserve">SHIRLEY ESPERANZA  CARVAJAL GILER </t>
  </si>
  <si>
    <t>0905511234</t>
  </si>
  <si>
    <t>0985631911</t>
  </si>
  <si>
    <t xml:space="preserve">se referie a la atención recibida en la entrega y aun no los tiene, el trato es despectivo después de hacer el reclamo, no ve, ve menos, ve borroso, para leer está muy abajo, no hubo explicación / Rotonda </t>
  </si>
  <si>
    <t>MULTIPLAZA PORTOVIEJO</t>
  </si>
  <si>
    <t>GARCIA VALENCIA FERNANDO VOLTAIRE</t>
  </si>
  <si>
    <t>CHACON VITERI ALEXIS ADRIAN</t>
  </si>
  <si>
    <t>me confeccionaron mal mis ultimos lentes</t>
  </si>
  <si>
    <t xml:space="preserve">IRVIN   RAMIREZ ULLOA </t>
  </si>
  <si>
    <t>no son lentes de gama alta, son de gama media, el punto de la pupila no fue bien determinado, estaban distorcionados y compró otro marcos</t>
  </si>
  <si>
    <t>MALL DEL SUR</t>
  </si>
  <si>
    <t>AÑAZCO RIVERA KLEBER WILFRIDO</t>
  </si>
  <si>
    <t>Pues quedaron entregarme o enviarme algun mensaje, pero la verdad siendo hoy viernes no tengo ni llamada ni mensaje, solo espero que los lentes esten sean con prontecion y demas porque no son nada baratos..</t>
  </si>
  <si>
    <t xml:space="preserve">CLEMENTE FRANCISCO  ANASTACIO VERA </t>
  </si>
  <si>
    <t>0915496806</t>
  </si>
  <si>
    <t>0996464182</t>
  </si>
  <si>
    <t>se consultó con el local / Buenos dias, lentes fueron entregados, pero cliente regresó por tema de incomodidad ya lo tenemos listo para entregar de nuevo, ayer se le escribió de nuevo.</t>
  </si>
  <si>
    <t>Mal servicio, mala actitud para atender y las promociones que publicitan en las gigantografias del local, siempre tratan de darse las vueltas para no darlas, me paso este mes en la compra en 2 locales diferentes (Quisentro sur y en el coral de Tumbaco) hubo que insistir y de mala gana accedieron a la promoción que ofertaban en el local</t>
  </si>
  <si>
    <t>Bueno Izquierdo Christian Fernando</t>
  </si>
  <si>
    <t>Me enteré al momento de cancelar. Debería ser opcional.</t>
  </si>
  <si>
    <t xml:space="preserve">POMA FIGEROA  SEBASTIAN PATRICIO </t>
  </si>
  <si>
    <t>0105817423</t>
  </si>
  <si>
    <t>0990476283</t>
  </si>
  <si>
    <t>se consultó con el local / si tiene ola plus firmado</t>
  </si>
  <si>
    <t>Romo Farias Jaime</t>
  </si>
  <si>
    <t>LOPEZ MALDONADO ROSA MARIA</t>
  </si>
  <si>
    <t>No recibí llamadas ni Mensajes que ya estaba los lentes</t>
  </si>
  <si>
    <t xml:space="preserve">LILIA MARTHA  SILVA VILLAGOMEZ </t>
  </si>
  <si>
    <t>0602449886</t>
  </si>
  <si>
    <t>0999700849</t>
  </si>
  <si>
    <t>NO me explicaron de la garantía solo fue un valor que me facturaron</t>
  </si>
  <si>
    <t xml:space="preserve">ANDREA   RUEDA  </t>
  </si>
  <si>
    <t>1105554008</t>
  </si>
  <si>
    <t>0999908491</t>
  </si>
  <si>
    <t>NO, no cumplen lo que ofrecen</t>
  </si>
  <si>
    <t xml:space="preserve">FABIAN RAMIRO  MEJIA MORALES </t>
  </si>
  <si>
    <t>1711056422</t>
  </si>
  <si>
    <t>0987472895</t>
  </si>
  <si>
    <t>se consultó con el local / Buenas tardes Andre, hicieron mal en el laboratorio el corte de luna enviaron al local sin las indicaciones pedidas de como se requería  y se tuvo que volver hcer porq dieron garantia por la empresa no por indulentes porque negaron la garantia</t>
  </si>
  <si>
    <t>Me vendieron “lunas a prueba de rayones” y no fue así. No dudaron ni 6 meses. Se portaron muy mal conmigo hasta que me comuniqué con altos mandos.</t>
  </si>
  <si>
    <t xml:space="preserve">GALARZA PAGANI  CARLO FERNANDO </t>
  </si>
  <si>
    <t>1709138620</t>
  </si>
  <si>
    <t>0958873474</t>
  </si>
  <si>
    <t>garantía no aplicaba se le dio descuento para nuevas lunas</t>
  </si>
  <si>
    <t>voy a un local de la vía a Daule para hacer las lunas y por error o negligencia de la persona que me atendió por querer cerrar un poco las varilla terminó rompiendo la varilla de un rayban 5245 que apenas tenía 2 años, según el realizo todo los descuentos incluso hasta el descuento de empleado cosa que yo no creo.</t>
  </si>
  <si>
    <t>local si se comunicó, cliente pidió ajuste de varillas y se trizó, se compró un armazón nuevo del mismo modelo con descuento de lunas</t>
  </si>
  <si>
    <t>QUICENTRO SHOPPING 2 SGH</t>
  </si>
  <si>
    <t>No tuve ninguna explicacion sobre el uso del producto</t>
  </si>
  <si>
    <t xml:space="preserve">CARRILLO CHAMORRO  JUAN CARLOS </t>
  </si>
  <si>
    <t>1720744810</t>
  </si>
  <si>
    <t>0958870599</t>
  </si>
  <si>
    <t>cliente compró gafas</t>
  </si>
  <si>
    <t>Sin comentarios</t>
  </si>
  <si>
    <t xml:space="preserve">CESAR AUGUSTO  GARCIA RIOS </t>
  </si>
  <si>
    <t>0603939620</t>
  </si>
  <si>
    <t>0996084723</t>
  </si>
  <si>
    <t>Se demoraron mas del tiempo ofrecido</t>
  </si>
  <si>
    <t xml:space="preserve">RENE PAUL  ORDOÑEZ LLERENA </t>
  </si>
  <si>
    <t>1714324173</t>
  </si>
  <si>
    <t>0995880551</t>
  </si>
  <si>
    <t>Pésimo servicio post venta</t>
  </si>
  <si>
    <t xml:space="preserve">MARCO ALARCON   </t>
  </si>
  <si>
    <t>0602243289001</t>
  </si>
  <si>
    <t>0987673603</t>
  </si>
  <si>
    <t>se consultó con el local / garantía de armazón donde hubo diferencia de precio</t>
  </si>
  <si>
    <t>MAZA QUITO STEFANNY GABRIELA</t>
  </si>
  <si>
    <t>AGUIRRE SARANGO ANA GABRIELA</t>
  </si>
  <si>
    <t>No tienen suficientes modelos en todos los locales y toca estar paseándose por varios locales</t>
  </si>
  <si>
    <t xml:space="preserve">FRANCISCO   DIAZ  </t>
  </si>
  <si>
    <t>1716750136</t>
  </si>
  <si>
    <t>0987317426</t>
  </si>
  <si>
    <t>No recibí el producto esperado</t>
  </si>
  <si>
    <t xml:space="preserve">JOFFRE  VARGAS </t>
  </si>
  <si>
    <t>0801622044</t>
  </si>
  <si>
    <t>0999800454</t>
  </si>
  <si>
    <t>No calculan bien los descuentos</t>
  </si>
  <si>
    <t xml:space="preserve">SHIRLEY MARIANELA  GARCIA MORLA </t>
  </si>
  <si>
    <t>0927230292</t>
  </si>
  <si>
    <t>0989176121</t>
  </si>
  <si>
    <t>Hay cosa buenas y cosas malas</t>
  </si>
  <si>
    <t xml:space="preserve">GLADYS DE  AGUIRRE REGALADO </t>
  </si>
  <si>
    <t>1705009676</t>
  </si>
  <si>
    <t>0999188867</t>
  </si>
  <si>
    <t>Mala atención</t>
  </si>
  <si>
    <t xml:space="preserve">WILSON ALBERTO  HERRERA MONTALUISA </t>
  </si>
  <si>
    <t>1722433750</t>
  </si>
  <si>
    <t>0998157448</t>
  </si>
  <si>
    <t>cliente tiene 4 rectificaciones, aun no entregan los lentes, está pendiente de la entrega y ver bien</t>
  </si>
  <si>
    <t xml:space="preserve"> QUICENTRO SUR</t>
  </si>
  <si>
    <t xml:space="preserve"> BARRERA GORDON HERMEN GUSTAVO</t>
  </si>
  <si>
    <t>Lleva 4 semanas y no se realiza la entrega</t>
  </si>
  <si>
    <t>0998157449</t>
  </si>
  <si>
    <t>Se me ofreció en un semana y se me entregó casi dos semanas luego</t>
  </si>
  <si>
    <t xml:space="preserve">ADDVALORA ECUADOR   ADDVALORA ECUADOR  </t>
  </si>
  <si>
    <t>1792796695001</t>
  </si>
  <si>
    <t>0984248364</t>
  </si>
  <si>
    <t>queja tiempo de entrega</t>
  </si>
  <si>
    <t>ZUÑIGA NAVARRETE WENDY</t>
  </si>
  <si>
    <t>PADILLA MORALES SILVIA</t>
  </si>
  <si>
    <t>Me cambiaron los marcos de mis lentes y no estoy satisfecha, los marcos son muy endebles y delicados.</t>
  </si>
  <si>
    <t xml:space="preserve">DAYANA  ARIAS </t>
  </si>
  <si>
    <t>1709009284</t>
  </si>
  <si>
    <t>0995258344</t>
  </si>
  <si>
    <t>Abril</t>
  </si>
  <si>
    <t>MORALES MULLAPA JOSE MANUEL</t>
  </si>
  <si>
    <t>No le note interesado</t>
  </si>
  <si>
    <t xml:space="preserve">PAULINA  BARRIGA </t>
  </si>
  <si>
    <t>1711585263</t>
  </si>
  <si>
    <t>0995021681</t>
  </si>
  <si>
    <t>Nunca me llegó la factura digital compre un viernes y quedaron en entregarme el martes unas de paquete,espere los cuatro días y me entregaron las mismas de ka exhibición</t>
  </si>
  <si>
    <t xml:space="preserve">GONZALO  JIBAJA </t>
  </si>
  <si>
    <t>1709176976</t>
  </si>
  <si>
    <t>0984800974</t>
  </si>
  <si>
    <t>cliente cerró la llamada</t>
  </si>
  <si>
    <t>no llamaron cuando ya habian etado listas</t>
  </si>
  <si>
    <t xml:space="preserve">IGNACIO   RAMIREZ </t>
  </si>
  <si>
    <t>1702282383</t>
  </si>
  <si>
    <t>0999721515</t>
  </si>
  <si>
    <t>Tiempo de entrega</t>
  </si>
  <si>
    <t>Iban a entregar en el tiempo correcto, pero hubo un desperfecto (rayón) en los lentes y finalmente se demoró más de 15 días.</t>
  </si>
  <si>
    <t xml:space="preserve">JOSÉ  VACA </t>
  </si>
  <si>
    <t>1705651964</t>
  </si>
  <si>
    <t>0992746007</t>
  </si>
  <si>
    <t>Muy malos los asesores</t>
  </si>
  <si>
    <t>cliente indica que le vendieron los lentes más caros, que los limpió con micro fibra y se rayaron, cuando fue no le dieron solución ni alternativa y que la asesora se portó muy grosera, indica que llamó a un amigo (Miguel Uribe) y le dieron una solución</t>
  </si>
  <si>
    <t>No me brindaron información correcta</t>
  </si>
  <si>
    <t xml:space="preserve">SANTIAGO   TROYA  </t>
  </si>
  <si>
    <t>1715336184</t>
  </si>
  <si>
    <t>0999033637</t>
  </si>
  <si>
    <t xml:space="preserve">compró lentes y gafas, le indicaron un valor y a la semana le dijeron que el precio era otro y no aceptó, </t>
  </si>
  <si>
    <t>No me entregan el producto hasta ahora. No cumplen lo que inicialmente ofrecieron.</t>
  </si>
  <si>
    <t>No he recibido mi factura</t>
  </si>
  <si>
    <t xml:space="preserve">INDIRA  SALAZAR </t>
  </si>
  <si>
    <t>1723961221</t>
  </si>
  <si>
    <t>0980268556</t>
  </si>
  <si>
    <t>volvió al local y solicitó la factura</t>
  </si>
  <si>
    <t>Andrea</t>
  </si>
  <si>
    <t>No tienen un buen sistema de notificación</t>
  </si>
  <si>
    <t xml:space="preserve">SALGADO IZA  LUIS GONZALO </t>
  </si>
  <si>
    <t>1720380888</t>
  </si>
  <si>
    <t>0963617023</t>
  </si>
  <si>
    <t>PASEO SAN FRANCISCO ISLA SGH</t>
  </si>
  <si>
    <t>Pudo ser mejor</t>
  </si>
  <si>
    <t xml:space="preserve">FAUSTO GABRIEL  YEPEZ </t>
  </si>
  <si>
    <t>1720941580</t>
  </si>
  <si>
    <t>0984055332</t>
  </si>
  <si>
    <t xml:space="preserve"> AGUIRRE SARANGO ANA GABRIELA</t>
  </si>
  <si>
    <t>En la segunda compra que realice no me entregaron las gafas que habían como promoción de la compra de armazones y lunas</t>
  </si>
  <si>
    <t>cliente indica que solicitó garantía y se demorarn mucho, su hijo no puede estar sin lentes y aun así se demoraron, por otro lado indica que en venta son muy buenos pero para arreglar reclamos no, se ofreció la gafa de promoción pero no aceptó</t>
  </si>
  <si>
    <t>PERERO MAGALLÁN DARWIN DAVID</t>
  </si>
  <si>
    <t>Los lentes tienen menos de un mes y ya presentaron fallas, fuí y me dijeron que tengo que regresar y me pusieron un tornillo provisional que no es parte del marco, ni al día se volvió a soltar ese tornillo provisional, necesito por favor de su ayuda. No creo que pagar tan caro por unos lentes y que estos se dañen en menos de un mes.</t>
  </si>
  <si>
    <t xml:space="preserve">JAIME FABIAN  LINO NOBOA </t>
  </si>
  <si>
    <t>0951901438</t>
  </si>
  <si>
    <t>0989835622</t>
  </si>
  <si>
    <t>consulta local</t>
  </si>
  <si>
    <t>ROSERO MARQUEZ VICENTE JESUS</t>
  </si>
  <si>
    <t>Poco satisfactorio</t>
  </si>
  <si>
    <t xml:space="preserve">MEDINA  JAIME </t>
  </si>
  <si>
    <t>0102572716</t>
  </si>
  <si>
    <t>0959250781</t>
  </si>
  <si>
    <t>dice no escuchar y cuelga</t>
  </si>
  <si>
    <t>Carla</t>
  </si>
  <si>
    <t>AYORA PAREDES RICKY SANTIAGO</t>
  </si>
  <si>
    <t>Para el costo hubiera sido bueno que aunque sea den el líquido para limpiar lentes pero no dan nada</t>
  </si>
  <si>
    <t xml:space="preserve">KATHERINE  JARA TENEMAZA </t>
  </si>
  <si>
    <t>0924772684</t>
  </si>
  <si>
    <t>0993903585</t>
  </si>
  <si>
    <t xml:space="preserve">Van 5 semanas y los lentes no son entregados, la doctora toma mal la medida y no se hace responsable. He insistido para que los repare o me devuelvan el dinero pero no he tenido una respuesta positiva
</t>
  </si>
  <si>
    <t>no le entregaron con medidas correctas por varias ocasiones, coordinador le indico que se iba a proceder a devolver</t>
  </si>
  <si>
    <t>BOMBOLI SHOPPING OLA</t>
  </si>
  <si>
    <t>Valderrama Alava Valentina</t>
  </si>
  <si>
    <t xml:space="preserve"> CORONEL CALDERON SABRINA</t>
  </si>
  <si>
    <t>No cumplen el objetivo que me ofrecieron</t>
  </si>
  <si>
    <t xml:space="preserve">DANIEL  CARRION GARCIA </t>
  </si>
  <si>
    <t>1714379896</t>
  </si>
  <si>
    <t>0995612357</t>
  </si>
  <si>
    <t>incomodidad visual no ve como con sus lentes anteriores / producto</t>
  </si>
  <si>
    <t xml:space="preserve">NO </t>
  </si>
  <si>
    <t>No me dieron opciòn de compra, no sè si encajaron el seguro en la compra</t>
  </si>
  <si>
    <t xml:space="preserve">SOFIA LOPEZ SANDOVAL  LOPEZ . </t>
  </si>
  <si>
    <t>1709343527001</t>
  </si>
  <si>
    <t>0995673040</t>
  </si>
  <si>
    <t>celular apagado</t>
  </si>
  <si>
    <t xml:space="preserve"> ¿Recomendaría Óptica Los Andes a un familiar o amigo?</t>
  </si>
  <si>
    <t>No prestan atención al momento de hacer el pedido como para que den la factura donde demore mas de 1 mes pera que me cambien mi factura donde se equivocaron 3 veces para tomar mis datos</t>
  </si>
  <si>
    <t xml:space="preserve">ANGEL  BARCIA GAROFALO </t>
  </si>
  <si>
    <t>0802263152</t>
  </si>
  <si>
    <t>0958606154</t>
  </si>
  <si>
    <t>buzón de voz</t>
  </si>
  <si>
    <t>Jennifer</t>
  </si>
  <si>
    <t>La Torre Fuentes Martha Cecilia</t>
  </si>
  <si>
    <t>Demora de 3 días</t>
  </si>
  <si>
    <t xml:space="preserve">KAREN DENISSE MARTINEZ PUGA  MARTINEZ PUGA </t>
  </si>
  <si>
    <t>0916162704001</t>
  </si>
  <si>
    <t>0999360895</t>
  </si>
  <si>
    <t>buzon de voz</t>
  </si>
  <si>
    <t>VEO MEJOR SIN LOS LENTES PARA LA VISON DE LEJOS ESPERO QUE SEA POR FALTA DE ADAPTACION , PERO YA VA ALGUNOS DIAS</t>
  </si>
  <si>
    <t xml:space="preserve">RODRIGO VALAREZO NOBLECILLA  VALAREZO NOBLECILLA 
</t>
  </si>
  <si>
    <t>0910085547001</t>
  </si>
  <si>
    <t>0997832707</t>
  </si>
  <si>
    <t>SAGBAY GUACHAMBOZA MONICA DE LOS ANGELES</t>
  </si>
  <si>
    <t>LEONARDO DAVID AGUAYO MARTINEZ</t>
  </si>
  <si>
    <t>No tenía muchas ganas de atender</t>
  </si>
  <si>
    <t xml:space="preserve">DILLON ESPIN  DAVID GUSTAVO </t>
  </si>
  <si>
    <t>1714129549</t>
  </si>
  <si>
    <t>0984622936</t>
  </si>
  <si>
    <t>indica queja por el trato de la optómetra ya que no se dio el tiempo de atenderlo bien  ya que presiente que por la cantidad que pago debido a su seguro en un vaocher de $35 la optometrá no lo atendió igual que a otro cliente</t>
  </si>
  <si>
    <t>no me comunicaron para retirar mi producto</t>
  </si>
  <si>
    <t>JUAN MANUEL MARTINEZ NOGALES</t>
  </si>
  <si>
    <t>0602154577001</t>
  </si>
  <si>
    <t>0984496716</t>
  </si>
  <si>
    <t xml:space="preserve">queja por no llamar cuando los lentes estaban listos, sin embargo indico que esta contento con su compra </t>
  </si>
  <si>
    <t>YUGCHA ANGOS DANIELA ALEXANDRA</t>
  </si>
  <si>
    <t>Yandun Nicole Daniela</t>
  </si>
  <si>
    <t>Me hicieron los lentes con una medida muy diferente a la mía, y cuando me entregaron les indiqué que estaba mal y en lugar de revisar me dijeron que debo ponerme para acostumbrarme y si no me acostumbraba, tenía 1 mes para revisar los lentes. Me tocó ir a mi oftalmóloga a que revise los lentes y volver a la óptica. La primera persona no me midió la altura de mis pupilas en los lentes nuevos y calculo mal mi receta. El 5 de calificación es por el último señor que si me atendió bien, sino la calificación sería más baja</t>
  </si>
  <si>
    <t xml:space="preserve">JOHANNA IVETH  LEON OBANDO </t>
  </si>
  <si>
    <t>1715319255</t>
  </si>
  <si>
    <t>0998331618</t>
  </si>
  <si>
    <t>si hubo el cambio, regresé a la semana y la persona me ayudó y ya está con los nuevos lentes, en la primera visita no hubo una buena atención, yo entiendo que tienen comisión por ventas y que yo llevé mi receta pero deben darse el tiempo de revisar y hacerlo bien y no solo cerrar la venta</t>
  </si>
  <si>
    <t>CARCHI ALVARADO EDISON EDGAR</t>
  </si>
  <si>
    <t>Ummm la verdad me indigno que no le dieran seguimiento para la entrega de los lentes de mi hija sino Yo ver la forma de saber si estaban listos</t>
  </si>
  <si>
    <t xml:space="preserve">WILSON  RIVAS GOMEZ </t>
  </si>
  <si>
    <t>0917478737</t>
  </si>
  <si>
    <t>0994489921</t>
  </si>
  <si>
    <t>No me lo explicaron solo entregaron los lentes y ya</t>
  </si>
  <si>
    <t xml:space="preserve">THALIA   VELOZ  </t>
  </si>
  <si>
    <t>1722191416</t>
  </si>
  <si>
    <t>0998141463</t>
  </si>
  <si>
    <t>Me cobraron garantías y producto de limpieza sin mi consentimiento</t>
  </si>
  <si>
    <t xml:space="preserve">FABIAN ALEJANDRO  HERRERA MALDONADO </t>
  </si>
  <si>
    <t>1719210385</t>
  </si>
  <si>
    <t>0981020663</t>
  </si>
  <si>
    <t>teléfono apagados, correo personalizado/ respondió whatsapp  / la venta es de marzo, local indica que el cliente tiene compras recurrentes de OLA PLUS / se devuelve ola plus</t>
  </si>
  <si>
    <t>La optómetra le faltan más paciencia y amabilidad. Nunca está de más dibujar una sonrisa mientras atiende al cliente. Ayer fui con mi hija, al final de los exámenes la optómetra dijo que recetaría un colirio (gotero), pero nunca lo hizo. Siempre he confiado en Óptica Los Andes . Gracias!</t>
  </si>
  <si>
    <t xml:space="preserve">SIXTO BOLIVAR ROBAYO CAJAMARCA   </t>
  </si>
  <si>
    <t>0501807176001</t>
  </si>
  <si>
    <t>0981078756</t>
  </si>
  <si>
    <t xml:space="preserve">les atendió la doctora, se mostró impaciente, uno espera que sean amables, que les digan todo, el aparato para medir la vista está roto y esto no ayudó, en el caso del colirio no nos indicó / local: cliente no adquirió el colirio por precio, la hija tiene 18 años y se explicó lo que preguntó, se dio cortesía de líquido de limpieza en la entrega de los lentes (local si preguntó quien es el cliente) </t>
  </si>
  <si>
    <t>FLORES BARAHONA GABRIEL LEONARDO</t>
  </si>
  <si>
    <t>Regular</t>
  </si>
  <si>
    <t xml:space="preserve">MARIA CASILDA  BRIONES LIBERIO </t>
  </si>
  <si>
    <t>0905984811</t>
  </si>
  <si>
    <t>0994524169</t>
  </si>
  <si>
    <t xml:space="preserve">calidad servicio, no le llamaron a avisar que había retraso de entrega </t>
  </si>
  <si>
    <t>Como comenté antes se retrasó todo por problemas internos suyos.</t>
  </si>
  <si>
    <t xml:space="preserve">LUCIA   BATALLAS  </t>
  </si>
  <si>
    <t>0501963656</t>
  </si>
  <si>
    <t>0995889056</t>
  </si>
  <si>
    <t>no le llamaron a decir el estado de su pedido se tuvo que acercar le hicieron perder el tiempo</t>
  </si>
  <si>
    <t>ATAHUALPA OUTLET</t>
  </si>
  <si>
    <t>VACA CASTRO ANDRES FERNANDO</t>
  </si>
  <si>
    <t xml:space="preserve"> BUENAS TARDES ASTA AHORA NO ME ENVIAN LOS RESULTADOS DEL EXAMEN QUE ME REALIZO LA SRTA Y YA ESTA PAGADO LOS 15 TAMPOCO ME A LLEGADO LA FACTURA</t>
  </si>
  <si>
    <t xml:space="preserve">LADY  PACHECO 
</t>
  </si>
  <si>
    <t>1104509201</t>
  </si>
  <si>
    <t>0989899005</t>
  </si>
  <si>
    <t>Si</t>
  </si>
  <si>
    <t>se dejó mensaje por Whatsapp y tampoco responde / CALL CENTER Andre, buenas tardes de este caso nos comenta la cliente que los resultados se demoraron en llegar, la factura nos dice que no llega a su mail.
En cuanto a la atención, la cliente indica que la persona que le cobró no le brindó información de los productos que estaba comprando solamente se limitó a generar el cobro y la cliente buscaba más información la cual no lo obtuvo. Esto nos comentó la cliente.</t>
  </si>
  <si>
    <t>Asesoría</t>
  </si>
  <si>
    <t>CORONEL CALDERON SABRINA</t>
  </si>
  <si>
    <t>La verdad el personal que atienden al cliente no dicen la verdad ya cuando se paga con la tarjeta en ese momento le dicen de que está afiliado a un seguro eso es estafa no hecho denuncia por evitar tiempos</t>
  </si>
  <si>
    <t xml:space="preserve">MARCOS RENE  BASANTES CASTELO 
</t>
  </si>
  <si>
    <t>0602469033</t>
  </si>
  <si>
    <t>0984308988</t>
  </si>
  <si>
    <t>numero incorrecto</t>
  </si>
  <si>
    <t>PASEO SHOPPING PENINSULA</t>
  </si>
  <si>
    <t>RODRIGUEZ GUALE JOSE LUIS</t>
  </si>
  <si>
    <t>MACHUCA ARCE DAVID EDMUNDO</t>
  </si>
  <si>
    <t>Buena atención, los lentes como tal llegaron con errores en la fórmula</t>
  </si>
  <si>
    <t xml:space="preserve">GIOVANNI ANTONIO  MOLINA IMPOSINATO </t>
  </si>
  <si>
    <t>0961229614</t>
  </si>
  <si>
    <t>0991020347</t>
  </si>
  <si>
    <t>telefono apagado</t>
  </si>
  <si>
    <t>BENITEZ MORA DIANA JUDITH</t>
  </si>
  <si>
    <t>No me han entregado mis lentes</t>
  </si>
  <si>
    <t xml:space="preserve">CRISTIAN  VALLADARES </t>
  </si>
  <si>
    <t>1721623609</t>
  </si>
  <si>
    <t>0999670476</t>
  </si>
  <si>
    <t xml:space="preserve">indica estar feliz con su pedido y que la llamada se le hizo extraña </t>
  </si>
  <si>
    <t>No se explico, es mas ni siquiera me comento de la garantía y solo me entere cunado revise la factura.</t>
  </si>
  <si>
    <t xml:space="preserve">ROBERTO SANTIAGO  VELASTEGUI </t>
  </si>
  <si>
    <t>1711054179</t>
  </si>
  <si>
    <t>0998379492</t>
  </si>
  <si>
    <t xml:space="preserve">Indica estar bien con el servicio recibido </t>
  </si>
  <si>
    <t>6 semanas y los lentes aún no son entregados, en varias ocasiones han sido realizados con una medida diferente</t>
  </si>
  <si>
    <t>buzón de voz / devolución</t>
  </si>
  <si>
    <t>GARCIA BAZURTO SERGIO JOSUE</t>
  </si>
  <si>
    <t>Precios altos</t>
  </si>
  <si>
    <t xml:space="preserve">CRISTIAN RODRIGO  ZHIRZHAN JUELA </t>
  </si>
  <si>
    <t>0929622116</t>
  </si>
  <si>
    <t>0984927394</t>
  </si>
  <si>
    <t>Indica estar contento con la atención recibida</t>
  </si>
  <si>
    <t>No me explicaron cuando me entregaron ni antes de entregarme ni el cuidado ni la garantía</t>
  </si>
  <si>
    <t xml:space="preserve">BRYAN  GUANCHA   </t>
  </si>
  <si>
    <t>1003673652001</t>
  </si>
  <si>
    <t>0996205741</t>
  </si>
  <si>
    <t>queja por falta de llamada a la hora de la entrega de su pedido no le confirmaron que estaba listo</t>
  </si>
  <si>
    <t>El día que fui me dijeron que no estaba, tuve que decirle que revise bien, y lo encontraron , luego ya en casa me doy cuenta que el estuche no es de mis lentes ni siquiera entran, y por tiempo no he alcazado a ir a reclaamar, muy mal en la parte de entregas y adicional si bien vino con la bolsita de oakley no me dieron ni un paño a pesar de gastar casi 500 dolares en unos lentes</t>
  </si>
  <si>
    <t xml:space="preserve">QUISAGUANO QUISAGUANO  EDUARDO JAVIER </t>
  </si>
  <si>
    <t>1719687087</t>
  </si>
  <si>
    <t>0987015919</t>
  </si>
  <si>
    <t xml:space="preserve">cliente recibió el mensaje de trabajo listo, se acercó al siguiente día y no encontraban su trabajo, les pidio que lo busquen y no le dieron el estuche correcto, es una más pequeño, se indicó que vamos dar estuche y paño </t>
  </si>
  <si>
    <t>Los valores que me indico no coincidian con lo que me queria cobrar , me toco indicarle dos veces el valor que me habia dado al cotizar</t>
  </si>
  <si>
    <t xml:space="preserve">ZUÑIGA BASANTES  ADRIANA DENNISE </t>
  </si>
  <si>
    <t>0925657801</t>
  </si>
  <si>
    <t>0988733483</t>
  </si>
  <si>
    <t>CEDEÑO PORTILLA DAVID ALEXANDER</t>
  </si>
  <si>
    <t>no es la primera vez que compro lentes... pero esta vez estuvieron carisimos automaticamente me facturaron un seguro que quizas no lo hubiera pedido.. me facturaron una cita oftamologica que supuestamente me dijo al final que es de cortesia pero facturada esta y esto inflo el precio de los lentes casi 150 dolares.. la verdad no dije nada por que me hacian mucha falta mis lentes pero en ningun momento me explicaron estos valores adicionales si eran obligatorios o no... si me hubiesen dicho que son olbigatorios hubiera ido a ver en otra optica... la explicacion de garantia como siempre muy superficial casi nada...</t>
  </si>
  <si>
    <t xml:space="preserve">JOSE XAVIER  PEREZ GUERRERO </t>
  </si>
  <si>
    <t>0925474983</t>
  </si>
  <si>
    <t>0995103969</t>
  </si>
  <si>
    <t>no es la primera vez que usa lentes, el precio ha estado entre 350 - 375 pero subió, consulté por el valor y me dicen que si, qeu el valor subió, la atención fue perfecta, pero cuando me hacen la factura yo observo que hay un servicio por un seguro, nunca me explicaron, no supe si era obligado o si yo deseaba, segundo un valor de consulta, dentro de la revsiión me dicen que tengo una visita médica en la clínica y que es gratuita, pero reviso mi factura y está facturada y como cliente me causó molestia, me cobran la cita que me dijeron era gratuita, y al final como todas las veces me dijeron las cosas y como ya está facturado yo pregunté muchas cosass para saber que mismo cubre el seguro. / Se dio la opción de devolución pero al cliente le ingresó otra llamada indicó que vuelve a llamar no está para whastapp</t>
  </si>
  <si>
    <t>No me ayudaron mucho</t>
  </si>
  <si>
    <t xml:space="preserve">CARLOS ALVARO  RASINIS VILLACIS </t>
  </si>
  <si>
    <t>1700350059</t>
  </si>
  <si>
    <t>0993081671</t>
  </si>
  <si>
    <t>Moreira Sanchez Selene Cristel</t>
  </si>
  <si>
    <t>Nos entregaron primero un par de lentes y luego sino escribimos a preguntar por el segundo par no nos escribían a decir que ya estaban para retirar</t>
  </si>
  <si>
    <t xml:space="preserve">WASHINGTON WILLIAN  RUIZ GOMEZ </t>
  </si>
  <si>
    <t>1307317741</t>
  </si>
  <si>
    <t>0985135422</t>
  </si>
  <si>
    <t>queja por tiempo de entrega e información</t>
  </si>
  <si>
    <t xml:space="preserve"> TAPIA PEÑA JESSIE PAMELA</t>
  </si>
  <si>
    <t>se dañaron por dos ocasiones los armazones y por garantía me tocó pagar un adicional</t>
  </si>
  <si>
    <t>Me lo dijo a muy alto nivel, el que me entregó solo me dio el papel, tengo que ver el papel para informarme</t>
  </si>
  <si>
    <t xml:space="preserve">ROBERT PETER  MACIAS ALDAZ </t>
  </si>
  <si>
    <t>0916515802</t>
  </si>
  <si>
    <t>0990794500</t>
  </si>
  <si>
    <t>colgo al escuchar el saludo</t>
  </si>
  <si>
    <t>Parece que están apurados aún cuando no hay mas clientes en la tienda</t>
  </si>
  <si>
    <t xml:space="preserve">JORGE ALBERTO  BARROS ORTIZ </t>
  </si>
  <si>
    <t>1715577308</t>
  </si>
  <si>
    <t>0983132106</t>
  </si>
  <si>
    <t>indico que estuvo bien pero no excelente esperaba mas</t>
  </si>
  <si>
    <t>NO tuve una buena atención con un producto que al final no me ayuda</t>
  </si>
  <si>
    <t xml:space="preserve">QUIROGA MUÑOZ  LEONARDO JAVIER </t>
  </si>
  <si>
    <t>1709296881</t>
  </si>
  <si>
    <t>0995028531</t>
  </si>
  <si>
    <t>no contesto</t>
  </si>
  <si>
    <t>No cumplieron con lo ofrecido</t>
  </si>
  <si>
    <t xml:space="preserve">FERNANDA LUCIA  HERRERA REINOSO </t>
  </si>
  <si>
    <t>1712693405</t>
  </si>
  <si>
    <t>0998421564</t>
  </si>
  <si>
    <t>No me menciono que es una garantía extendida, mas bien menciono como que es parte del "beneficio" pero que no era algo adicional.</t>
  </si>
  <si>
    <t xml:space="preserve">ERICK MORILLO   </t>
  </si>
  <si>
    <t>1003948419001</t>
  </si>
  <si>
    <t>0996850876</t>
  </si>
  <si>
    <t>Indico estar muy bien con la atención recibida</t>
  </si>
  <si>
    <t>Les falta transparencia en las recomendaciones y asesoría de venta</t>
  </si>
  <si>
    <t xml:space="preserve">JOHNNY JAVIER  MONTALVAN MELGAR </t>
  </si>
  <si>
    <t>1724172240</t>
  </si>
  <si>
    <t>0995637222</t>
  </si>
  <si>
    <t xml:space="preserve">Indico estar satisfecho con el servicio recibido </t>
  </si>
  <si>
    <t>Recibí mis lentes nuevos progresivos por primera vez y resulta que las medidas no fueron las correctas, al desconocer el tiempo de adaptación en el uso frecuente de los mismos me causó dolores agudos de cabeza y tuve que acercarme para que los revisaran nuevamente, razón por la que tuve que dejarlos para la corrección y estoy a la espera de los lentes con las nuevas medidas.</t>
  </si>
  <si>
    <t xml:space="preserve">AVILES PARRAGA  LINDA VERONICA </t>
  </si>
  <si>
    <t>0920434875</t>
  </si>
  <si>
    <t>0993079682</t>
  </si>
  <si>
    <t>Mala indicación de cuidado del producto</t>
  </si>
  <si>
    <t xml:space="preserve">KIRMAN  PAREDES CABEZAS </t>
  </si>
  <si>
    <t>2350190134</t>
  </si>
  <si>
    <t>0961227216</t>
  </si>
  <si>
    <t xml:space="preserve">Indica que tuvo problemas con mala información, el liquido dado dentro de la optica le rayo los lentes indica tener dos meses sin los lentes ya que no los ha podido usar y estan en garantia </t>
  </si>
  <si>
    <t>Hoy me acerqué a retirar unos lentes progresivos y unas gafas con medidas que cambié las lunas…los marcos de los lentes progresivos estaban picados, siento que hacen esto a propósito para ver si el cliente no se da cuenta y se los lleve para ver qué pasa. Me dijeron que las lunas progresivas iba a tener mayor visión y al momento de probarme sentí que la visión se reduce. Adicional las gafas con medidas no estaban listas cuando por SMS me indicaron que todo estaba listo para retirar. Mal servicio, pésimo control de calidad tomando en cuenta que sus productos son bastante caros entonces el servicio debería ser casi perfecto en todo aspecto. $700 dólares pagué y obtengo un pésimo servicio. Preocúpense por el servicio al cliente en serio!!!</t>
  </si>
  <si>
    <t xml:space="preserve">CARLOS  ZAMBRANO </t>
  </si>
  <si>
    <t>0917600710</t>
  </si>
  <si>
    <t>0992630199</t>
  </si>
  <si>
    <t>Me mandé hacer unos lentes, al momento de la entrega yo me di cuenta que estaban mal elaborados, no se hizo control de calidad antes de la entrega, como eran con clip la gafa no se sostenía, así que no los recibí días después mencionan que era falla del armazón, fui a ver un nuevo modelo el viernes 17 de abril y hasta hoy no me entregan la primera compra fue el 4 de abril, han pasado 21 días y aún no tengo mis lentes, es la última vez que hago una compra en esta marca</t>
  </si>
  <si>
    <t xml:space="preserve">ANDRES SANTIAGO VILLAMAR MUÑOZ </t>
  </si>
  <si>
    <t>1716914617</t>
  </si>
  <si>
    <t>0986105436</t>
  </si>
  <si>
    <t>el resultado no fue el óptimo, se debe verificar que el producto esté bien, la queja es por la calidad de los lentes, se debe mejorar eso, la asesoría estuvo bien falló la calidad y el tiempo de entrega. El personal trató de solucionar</t>
  </si>
  <si>
    <t>asesoría, control de calidad, tiempo</t>
  </si>
  <si>
    <t>LEVOYER RAMIREZ JOSE LUIS</t>
  </si>
  <si>
    <t>Falta que presenten de mejor manera los beneficios que tienen, en la agencia de San Luis el servicio mucho mejor q en el recreo.</t>
  </si>
  <si>
    <t xml:space="preserve">CARLOS  TOLEDO </t>
  </si>
  <si>
    <t>1717580888</t>
  </si>
  <si>
    <t>0988763498</t>
  </si>
  <si>
    <t>no habló estaba ingresando al trabajo</t>
  </si>
  <si>
    <t>No me agrado la atención que recibí por el personal</t>
  </si>
  <si>
    <t xml:space="preserve">STHEFANIE BELEN  SUAREZ MOSQUERA </t>
  </si>
  <si>
    <t>0400947727</t>
  </si>
  <si>
    <t>0985189174</t>
  </si>
  <si>
    <t>Fue mayor a los 5 días y tuve que ir yo misma a verificar, no me avisaron si ya estaban o no listos</t>
  </si>
  <si>
    <t xml:space="preserve">GEOVANA  LICTO </t>
  </si>
  <si>
    <t>1723720171</t>
  </si>
  <si>
    <t>0993936904</t>
  </si>
  <si>
    <t>tiempo de entrega</t>
  </si>
  <si>
    <t>CORAL CARAPUNGO</t>
  </si>
  <si>
    <t>Gonzalez Granda Mayra</t>
  </si>
  <si>
    <t>Deberían consultar si uno desea el seguro</t>
  </si>
  <si>
    <t xml:space="preserve">ESTEFANY MEJIA   </t>
  </si>
  <si>
    <t>0401544598001</t>
  </si>
  <si>
    <t>0991580863</t>
  </si>
  <si>
    <t>pésimo el servicio del asesor en el quicentro, compramos porque teníamos la experiencia anterior en el condado y porque a mi hijo le gustaron los armazones</t>
  </si>
  <si>
    <t xml:space="preserve">KATHERINE   GORDILLO  </t>
  </si>
  <si>
    <t>1709675332</t>
  </si>
  <si>
    <t>0984718643</t>
  </si>
  <si>
    <t>poco interes, que el asesor tuvo mala atencion especificamente, tiempo de entrega</t>
  </si>
  <si>
    <t>Mayo</t>
  </si>
  <si>
    <t>Caza Yandun Nicole Daniela</t>
  </si>
  <si>
    <t>No los recomendaría de ninguna forma, su servicio al cliente es pésimo.</t>
  </si>
  <si>
    <t xml:space="preserve">Jordy  Chicaiza </t>
  </si>
  <si>
    <t>1720354305</t>
  </si>
  <si>
    <t>0958996098</t>
  </si>
  <si>
    <t>el vendedor le ofrecio una fecha que no cumplio, lo trataron mal, y que nadie lo ha llamado por el estado de pedido</t>
  </si>
  <si>
    <t>se salvo devolución pidiendo disculpas</t>
  </si>
  <si>
    <t>CASTILLO PONTON GINA ESTEFANIA</t>
  </si>
  <si>
    <t>Muy insatisfecho con el servicio posventa, compré una gafas en el local del Quicentro norte el 4 de abril para un viaje previsto fuera del país hoy 1 de mayo, el 14 de abril me llegó mensaje que me acerque a retirar, fui y muy mal trabajo en las lunas, no las recibí y volví al día siguiente para hablar con él optometra , indicó que se envían para reproceso, ya estoy en el aeropuerto este momento y nunca recibí respuesta a mis variados seguimientos cada semana para poder usar las gafas en el viaje, requiero devolución del dinero. Ya no las necesito.</t>
  </si>
  <si>
    <t xml:space="preserve">RUBEN ALARCON   </t>
  </si>
  <si>
    <t>1713170379001</t>
  </si>
  <si>
    <t>0999782792</t>
  </si>
  <si>
    <t xml:space="preserve">EL DORADO </t>
  </si>
  <si>
    <t>No puedo recomendar un lugar donde no te dan lo que solicitas y pagas</t>
  </si>
  <si>
    <t xml:space="preserve">FERNANDO MAURICIO  ROSALES CORONEL </t>
  </si>
  <si>
    <t>0916060031</t>
  </si>
  <si>
    <t>0994692367</t>
  </si>
  <si>
    <t>MALL DE LOS ANDES AMBATO</t>
  </si>
  <si>
    <t>FERNANDEZ ORTEGA JESSICA</t>
  </si>
  <si>
    <t>COBO RODRIGUEZ JUAN</t>
  </si>
  <si>
    <t>Nunca me llegó la factura</t>
  </si>
  <si>
    <t xml:space="preserve">CRISTIAN FERNANDO  GALARZA ALMACHI </t>
  </si>
  <si>
    <t>0502323645</t>
  </si>
  <si>
    <t>0958888123</t>
  </si>
  <si>
    <t>colgo en el saludo</t>
  </si>
  <si>
    <t>PEÑAFIEL TERAN YOMAIDA SILVANA</t>
  </si>
  <si>
    <t>MUY MALO</t>
  </si>
  <si>
    <t xml:space="preserve">GABRIELA PAOLA  SALAZAR GALARRAGA </t>
  </si>
  <si>
    <t>1722520101</t>
  </si>
  <si>
    <t>0984332769</t>
  </si>
  <si>
    <t>Directo a buzon de voz</t>
  </si>
  <si>
    <t>GUERRERO VALLE YADIRA</t>
  </si>
  <si>
    <t>Promoción engañosa</t>
  </si>
  <si>
    <t xml:space="preserve">MARCO ARIAS  ARIAS  </t>
  </si>
  <si>
    <t>1714836622001</t>
  </si>
  <si>
    <t>0984498757</t>
  </si>
  <si>
    <t>Realizo la compra en portoviejo aunque es de Quito indica que la atencion del asesor estuvo pesima, (adiciona que en los locales de quito jamas a tenido ese maltrato) menciona que no tuvo mucha educación también que deben de tener una retroalimentación al trato de los clientes ya que enfatiza en que lo discriminaron por su vestimenta (andaba en pantaloneta) tambien recalca que la actitud del asesor era mas confrontativa que la de querer asistirlo en su venta</t>
  </si>
  <si>
    <t>El producto nunca fue recibido, intentaron entregar con medidas equivocados. Después de 2 meses estoy esperando la devolución del dinero</t>
  </si>
  <si>
    <t>Se demoro</t>
  </si>
  <si>
    <t xml:space="preserve">HENRRY FELIPE  GOMEZ </t>
  </si>
  <si>
    <t>0702361973</t>
  </si>
  <si>
    <t>0984587860</t>
  </si>
  <si>
    <t xml:space="preserve">Indica que el telefono no puede recibir llamadas por falta de pago </t>
  </si>
  <si>
    <t>PASEO SHOPPING ESMERALDAS</t>
  </si>
  <si>
    <t>DELGADO GRUEZO MARIA JOSE</t>
  </si>
  <si>
    <t>Mañana experiencia con lunas</t>
  </si>
  <si>
    <t xml:space="preserve">LUCIA  VERNAZA QUIÑONEZ </t>
  </si>
  <si>
    <t>0803129360</t>
  </si>
  <si>
    <t>0939312818</t>
  </si>
  <si>
    <t xml:space="preserve">Indica que en 15 días sus lentes se rayaron </t>
  </si>
  <si>
    <t>Cambian los colaboradores y cuando uno ba por reclamo o cambio no saben de que se trata</t>
  </si>
  <si>
    <t xml:space="preserve">MANUEL MESIAS  AZA PASCUMAL </t>
  </si>
  <si>
    <t>0400502589</t>
  </si>
  <si>
    <t>0995815763</t>
  </si>
  <si>
    <t>QUICENTRO SHOPPING OSH</t>
  </si>
  <si>
    <t>TOBAR HERNANDEZ KARLA NICOLE</t>
  </si>
  <si>
    <t>Los precios sin elevados</t>
  </si>
  <si>
    <t xml:space="preserve">DIANA GABRIELA  SUAREZ SUNTAXI </t>
  </si>
  <si>
    <t>1719226415</t>
  </si>
  <si>
    <t>0984971537</t>
  </si>
  <si>
    <t>responde con tono que le molestó la llamada dice que es por precio que somos caros</t>
  </si>
  <si>
    <t>No me sirvieron bien los lentes que mandé a. Hacer</t>
  </si>
  <si>
    <t xml:space="preserve">AGRICOLA AG PRODUCTOS   </t>
  </si>
  <si>
    <t>1791405455001</t>
  </si>
  <si>
    <t>0991317757</t>
  </si>
  <si>
    <t>numero marcado incorrecto</t>
  </si>
  <si>
    <t xml:space="preserve"> CCI 1</t>
  </si>
  <si>
    <t>No se tomó en cuenta mi necesidad de tener lentes progresivos que si los tenía los anteriores, derivando en un gasto adicional y eliminando una propiedad de oscurecerse en el dia</t>
  </si>
  <si>
    <t>le dieron un lente que no era progresivo y cuando se corrigio por costo le cobraron diferencia y elimino el transitions todo esto por error del optometra en un principio</t>
  </si>
  <si>
    <t>BURGOS MONTESDEOCA HJALMAR RENE</t>
  </si>
  <si>
    <t>No me comentó sobre la garantía lo supe después de pagar la factura</t>
  </si>
  <si>
    <t xml:space="preserve">RODRIGO FERDINAND  TERAN GOVEA </t>
  </si>
  <si>
    <t>1312063165</t>
  </si>
  <si>
    <t>0982856444</t>
  </si>
  <si>
    <t>MENDOZA RODRIGUEZ JONATHAN</t>
  </si>
  <si>
    <t>Los últimos lentes (armazón) no fue de buena calidad</t>
  </si>
  <si>
    <t xml:space="preserve">JOSE ALFREDO  GONZALEZ GARAVITO </t>
  </si>
  <si>
    <t>0920815875</t>
  </si>
  <si>
    <t>0999425504</t>
  </si>
  <si>
    <t>DORADO</t>
  </si>
  <si>
    <t>Me cobraron el costo de la GARANTÍA OLA PLUS 151 A 300 12MESES sin mi consentimiento. Costo que desde un principio dije que NO autorizaba</t>
  </si>
  <si>
    <t xml:space="preserve">JOSE MANUEL  VERA VERA </t>
  </si>
  <si>
    <t>0924088693</t>
  </si>
  <si>
    <t>0994621124</t>
  </si>
  <si>
    <t>la venta se hizo de dos lentes, la venta se explicó a la esposa y ella es la que acepte y firma los documentos, pero el pago lo hace el esposo y el no está de acuerdo, si se hizo la explicación pero él no está de acuero / se hace la devolución</t>
  </si>
  <si>
    <t>ola plus</t>
  </si>
  <si>
    <t>No te explican bien sobre seguros de los lentes y te cobran cosas que nunca te indica</t>
  </si>
  <si>
    <t xml:space="preserve">PATRICIO  GUANO </t>
  </si>
  <si>
    <t>1714236153</t>
  </si>
  <si>
    <t>0958752339</t>
  </si>
  <si>
    <t xml:space="preserve">No </t>
  </si>
  <si>
    <t>Buzón de voz</t>
  </si>
  <si>
    <t>No me dieron solución</t>
  </si>
  <si>
    <t xml:space="preserve">GALO  YACELGA </t>
  </si>
  <si>
    <t>1714513221</t>
  </si>
  <si>
    <t>0987512142</t>
  </si>
  <si>
    <t>¿Qué tan satisfecho está con la explicación que le dio el asesor respecto a la garantía</t>
  </si>
  <si>
    <t>No me dio mayor información, como puedo hacer uso de mi garantio, terminos y condiciones del mismo seguro</t>
  </si>
  <si>
    <t xml:space="preserve">ALEXANDRA  CHICAIZA GUALPA </t>
  </si>
  <si>
    <t>1718669433</t>
  </si>
  <si>
    <t>0959078663</t>
  </si>
  <si>
    <t xml:space="preserve">Si </t>
  </si>
  <si>
    <t>Indica que la calificación es porque a su hijo no le dieron la factura en el momento de la venta</t>
  </si>
  <si>
    <t>No entregaron en la fecha ofrecida</t>
  </si>
  <si>
    <t xml:space="preserve">DIGIMAEL S.A   </t>
  </si>
  <si>
    <t>1790702979001</t>
  </si>
  <si>
    <t>0999464680</t>
  </si>
  <si>
    <t>Valverde Pinargote Jairo Jose</t>
  </si>
  <si>
    <t>Pésimo servicio el servicio post venta faltan no con capaces ni de responder los mensajes y ademanes el tiempo de entrega de los lentes es faltan 17 días y no recibo los lentes, nunca los recomendaría</t>
  </si>
  <si>
    <t xml:space="preserve">ALEJANDRO JUNIOR  ARMIJOS ARMIJOS </t>
  </si>
  <si>
    <t>1150036497</t>
  </si>
  <si>
    <t>0968452590</t>
  </si>
  <si>
    <t>Productos mala calidad de rayan de la nada y luego se hacen los locos</t>
  </si>
  <si>
    <t xml:space="preserve">HERNAN  CARDENAS </t>
  </si>
  <si>
    <t>0201444049</t>
  </si>
  <si>
    <t>0999920392</t>
  </si>
  <si>
    <t xml:space="preserve">Buzón de voz, se insistió 4 veces </t>
  </si>
  <si>
    <t>PATTERSON PEDROSO OSMEIVI</t>
  </si>
  <si>
    <t>MEJILLON QUISAGUANO MICHELLE ABIGAIL</t>
  </si>
  <si>
    <t>Me hicieron mal 1 luna de 1 lente y me enviaron a Guayaquil a una cita con un oftalmólogo pediátrico y a lo que fuimos no había tal sino una simple oftalmóloga. Simplemente eso no se hace peor cuando hay que viajar para esto</t>
  </si>
  <si>
    <t xml:space="preserve">FABRICIO   DIMINICH RENDON </t>
  </si>
  <si>
    <t>0912011335</t>
  </si>
  <si>
    <t>0987613141</t>
  </si>
  <si>
    <t>Indica que le realizarón una rectificación y al momento se encuentra bien con su pedido.</t>
  </si>
  <si>
    <t>BERRIOS MENDOZA DOMENICA ELIANA</t>
  </si>
  <si>
    <t>Tengo problemas con mis lentes no ouedo ver bien de lejos y eso afecta al conducir</t>
  </si>
  <si>
    <t xml:space="preserve">EURA MARÍA  ZAMBRANO VERA </t>
  </si>
  <si>
    <t>1305599332</t>
  </si>
  <si>
    <t>0983538269</t>
  </si>
  <si>
    <t>Lo Lentes y Calidad Exelente no tengo Quejas de las Mejores ....tengo un seguro que me reconocen 200 dólares por cada miembro de mi Familia, por desconocimiento mio le dije que me ayuden con una sola factura, pero al momento de presentar la solicitud de reembolso me dicen que es factura individual, pero ahora an cambiado las políticas toca hacer factura individual, y estoy solicitando desde el tercer día, que me ayude con eso de las facturas pero hasta la vez , recibo respuesta alguna , ya mismo se vence el plazo de presentar facturas</t>
  </si>
  <si>
    <t xml:space="preserve">HIDT NICOLAS  ARAUJO CARRION </t>
  </si>
  <si>
    <t>0703798835</t>
  </si>
  <si>
    <t>0994544136</t>
  </si>
  <si>
    <t>No</t>
  </si>
  <si>
    <t>AYALA CADENA JOSE ADALBERTO</t>
  </si>
  <si>
    <t>Fatal el servicio 15 días para entrega de lentes</t>
  </si>
  <si>
    <t xml:space="preserve">ESTEBAN   GARCIA  </t>
  </si>
  <si>
    <t>1716117377</t>
  </si>
  <si>
    <t>0987065263</t>
  </si>
  <si>
    <t>Indica que le molestó inicialmente el tiempo de entrega pero que le supieron indicar el porque y que acepto las disculpas</t>
  </si>
  <si>
    <t>Nunca más acudir a recibir un trato tan irrespetuoso y atención displicente. A todos quienes me pregunten por mis gafas RayBan les diré que NO ACUDAN A OPTICA LOS ANDES. Una marca de tanto prestigio no puede ser distribuida por una empresa tan deficiente en atención y trato a sus clientes como OLA</t>
  </si>
  <si>
    <t>cliente molesto, poqrue nadie dio respuesta a su requerimiento en ningún canal</t>
  </si>
  <si>
    <t>se dio 50% de descuento para otra compa</t>
  </si>
  <si>
    <t>Ya llené la encuesta ya me contactaron pagamos los lentes el 25 de abril y aún no nos entregan</t>
  </si>
  <si>
    <t>no le llegó el mensaje de texto, es paciente asociado, y no hay datos</t>
  </si>
  <si>
    <t>RIOBAMBA PLAZA</t>
  </si>
  <si>
    <t>GUZMAN MALDONADO GABRIELA JOHANNA</t>
  </si>
  <si>
    <t>CANDO PILCO VERONICA CECILIA</t>
  </si>
  <si>
    <t>Me dieron unos lentes con medidas que no son las adecuadas</t>
  </si>
  <si>
    <t xml:space="preserve">FANNY MARIANA  MUCARSEL MALDONADO </t>
  </si>
  <si>
    <t>0600242101</t>
  </si>
  <si>
    <t>0990626372</t>
  </si>
  <si>
    <t>cliente no contestó / local indica que la dueña de los lentes es la mamá que se fue satisfecha y que era receta externa se dejó mensaje a la hija</t>
  </si>
  <si>
    <t>La medida le tomaron mal</t>
  </si>
  <si>
    <t xml:space="preserve">RONALD ORLEY  MERO ANCHUNDIA </t>
  </si>
  <si>
    <t>1311927568</t>
  </si>
  <si>
    <t>0989621841</t>
  </si>
  <si>
    <t>se consultó con el local / lente entregado / La medida no fue para el, fue para su hija Y quien vino a retirar el lente fue su hija tuvo una variacion en medida, la srta se los probo dijo que estaba todo bien agradecio y se retiro</t>
  </si>
  <si>
    <t>QUISHPE DE LA VEGA ALBÁN ALEX GUSTAVO</t>
  </si>
  <si>
    <t>No de todo</t>
  </si>
  <si>
    <t xml:space="preserve">Carlos Rolando  Sanchez Veloz </t>
  </si>
  <si>
    <t>1803080520</t>
  </si>
  <si>
    <t>0987354028</t>
  </si>
  <si>
    <t>cliente no contestó</t>
  </si>
  <si>
    <t>PASEO SHOPPING MACHALA</t>
  </si>
  <si>
    <t>PONCE PINEDA JEFFERSON LENIN</t>
  </si>
  <si>
    <t>NINGUNO</t>
  </si>
  <si>
    <t xml:space="preserve">NANCY DALIA SALINAS CARRANZA  SALINAS  </t>
  </si>
  <si>
    <t>0702963216001</t>
  </si>
  <si>
    <t>0999532516</t>
  </si>
  <si>
    <t>indica que número esta equivocado</t>
  </si>
  <si>
    <t>SANCHEZ SUAREZ MIRIAM ISABEL</t>
  </si>
  <si>
    <t>Le falta capacitación , desconoce las características de los materiales d e las lunas que ofertan</t>
  </si>
  <si>
    <t xml:space="preserve">BADILLO RIVERA  ISABEL MARIA </t>
  </si>
  <si>
    <t>1202744957</t>
  </si>
  <si>
    <t>0967800655</t>
  </si>
  <si>
    <t>Estoy esperando la rectificación del lente</t>
  </si>
  <si>
    <t xml:space="preserve">SUSANA  JARAMILLO </t>
  </si>
  <si>
    <t>1704653599</t>
  </si>
  <si>
    <t>0987961927</t>
  </si>
  <si>
    <t>Costos elevados</t>
  </si>
  <si>
    <t xml:space="preserve">señora grosera dice que ya la llamaron con anterioridad y que no hacemos bien el trabajo porque molesta que la llamen a cada rato </t>
  </si>
  <si>
    <t>ANDRADE MEJIA JESSICA</t>
  </si>
  <si>
    <t>No me dieron la garantía de los lentes y es falla se desprendió el transition y en local del condado pésimo el servicio</t>
  </si>
  <si>
    <t xml:space="preserve">CLAUDIO  FLORES </t>
  </si>
  <si>
    <t>1721145884</t>
  </si>
  <si>
    <t>0992749465</t>
  </si>
  <si>
    <t>no habla cuando escucha el saludo y despues cuelga</t>
  </si>
  <si>
    <t>Los regrese el mismo día de retirarlos ya que las medidas o las distancias no eran las correctas.</t>
  </si>
  <si>
    <t xml:space="preserve">CATAÑA NARANJO  ABEL GEOVANNY </t>
  </si>
  <si>
    <t xml:space="preserve">1714005475
</t>
  </si>
  <si>
    <t>0999929542</t>
  </si>
  <si>
    <t>Indica que posterior a la compra de sus lentes le entregaron unos lentes cuyas medidas no eran las correctas, se acerco a la rectificación y le supieron indicar que para la medida que posee los marcos que eligio no eran los acordé indica que su enojo es porque no le supieron asesorar desde el principio para que no haya tanta tardanza</t>
  </si>
  <si>
    <t>NO VEO BIEN CON ESTOS LENTES</t>
  </si>
  <si>
    <t xml:space="preserve">MARIA  BASTIDAS </t>
  </si>
  <si>
    <t>1707175194</t>
  </si>
  <si>
    <t>0987775553</t>
  </si>
  <si>
    <t>Me hicieron pasar el tiempo en la entrega</t>
  </si>
  <si>
    <t xml:space="preserve">ANDY STEVEN  CALERO VIZUETE </t>
  </si>
  <si>
    <t>1722729454</t>
  </si>
  <si>
    <t>0993531667</t>
  </si>
  <si>
    <t xml:space="preserve">Cerró la llamada despues del saludo </t>
  </si>
  <si>
    <t>RIOCENTRO SUR</t>
  </si>
  <si>
    <t>TORRES MONCADA JOSELYN ELIZABETH</t>
  </si>
  <si>
    <t>No me dieron el desglose de lo que me iban a facturar, me dijeron le aplicamos una promoción y terminaron cobrándome exámenes que no requería y que acepté porque pensé que eran gratis como parte de la promoción.</t>
  </si>
  <si>
    <t xml:space="preserve">PEDRO FERNANDO  NUÑEZ GOMEZ </t>
  </si>
  <si>
    <t>0908700420</t>
  </si>
  <si>
    <t>0997368345</t>
  </si>
  <si>
    <t xml:space="preserve">Indica que desea le ayuden con la devolución de las cantidades. Se habló con el local para que realice la gestión. </t>
  </si>
  <si>
    <t>Mala atención del asesor, excelente del resto del equipo, excelente producto</t>
  </si>
  <si>
    <t xml:space="preserve">DE SOUZA  JOSE ALEJANDRO </t>
  </si>
  <si>
    <t>1715237754</t>
  </si>
  <si>
    <t>0994790774</t>
  </si>
  <si>
    <t>Indica que desea se realice una retroalimentación con el asesor y se le brinde capacitación de servicio al cliente</t>
  </si>
  <si>
    <t>Me enteré que mis lentes estaban listos porque me llegó ésta encuesta pero nunca me llegó ningún mensaje ni ningún mail avisandome que los lemtes yahabian llegado</t>
  </si>
  <si>
    <t xml:space="preserve">PEDRO JOSEº  PACHECO HERVAS </t>
  </si>
  <si>
    <t>1801613835</t>
  </si>
  <si>
    <t>0999930909</t>
  </si>
  <si>
    <t>PADILLA RUALES JOHANA LISSET</t>
  </si>
  <si>
    <t>Me entregaron pasada la fecha que me indicaron, traté de comunicarme con atención al cliente y ninguno de los números que tienen en su web sirve, en su canal de whatsapp es un bot que está mal programado y nunca me contestaron y finalmente cuando le pregunté al chico que estaba en su local del Condado se portó super grosero, ojo no fue el mismo que me hizo la factura y me entregó los lentes. Así que por primera vez me va pésimo con ustedes</t>
  </si>
  <si>
    <t xml:space="preserve">ANABELL  AGUILERA </t>
  </si>
  <si>
    <t>1724268527</t>
  </si>
  <si>
    <t>0995291306</t>
  </si>
  <si>
    <t>Dijo que su comentario ya lo decía todo en la encuesta. El chico que le facturo 10/10. Se queja de un asesor (bajito y de lentes) por la actitud, que a la sra no le ha gustado que se ponga a contar los días en el calendario referente a la fecha de entrega, le pareció una grosería. Y dice que el número de condado nunca contestan, y en el bot solo le dijeron que ya estaban los lentes sin ofrecer disculpas.</t>
  </si>
  <si>
    <t>NARANJO BORJA FRANCISCO JAMIL</t>
  </si>
  <si>
    <t>Mal servicio, nunca me dieron asesoría al momento de comprar el lente aparte el datafas no valía por lo que se tuvo que pasar la tarjeta varias veces y en diferentes máquinas datafas adicional en un inicio me dieron un precio elevado y luego me aplicaron un supuesto descuento por lo que yo como cliente desconfíe el motivo del descuento y les pedí que anule la factura y que solo quiero llevar armazones sin embargo el vendedor nunca hizo mi petición como cliente</t>
  </si>
  <si>
    <t xml:space="preserve">MARIA  GUAMBO </t>
  </si>
  <si>
    <t>0910449727</t>
  </si>
  <si>
    <t>0968665806</t>
  </si>
  <si>
    <t>¿Qué tan satisfecho está con la calidad visual y medidas de sus lunas/lentes de</t>
  </si>
  <si>
    <t>Mal realizados tuvieron que volverme a tomar la medida, me hicieron unas nuevas lunas que costaban menos y no me quisieron realizar la nota de credito diciendo que cuestan lo mismo, muy grosera la señorita que me atendió en el local cci 2</t>
  </si>
  <si>
    <t xml:space="preserve">MARIA  ZAPATA  </t>
  </si>
  <si>
    <t>1714712526</t>
  </si>
  <si>
    <t>número incorrecto</t>
  </si>
  <si>
    <t>pésimo mala atención y no cumplen lo que se contrata</t>
  </si>
  <si>
    <t xml:space="preserve">PACHECO PACHECO  MARCO ANTONIO </t>
  </si>
  <si>
    <t>0501373708</t>
  </si>
  <si>
    <t>0980441367</t>
  </si>
  <si>
    <t xml:space="preserve">esto es sobre Scala, le indicaron que los lentes se iban a entregar un dia, fui y no estaban, nadie supo, le dijeron que tal día se entrega y qeu el día jueves llegaban, fue el jueves y no estaban, fue el jueves y no estaban, no pidieron disculpas, no la ayudaron, se hizo el desentendido, sale de vieaje en dos días, le dieron muchas excusas y que los lentes llegaban lunes, lunes no se acercó, fue el día martes y no habían hecho nada, nadie dio respuesta, y pidió la anulación de la compra, y le dijeron qeu fue su culpa, fue un asesor chiquito, cuando pedí la anulación, se asustaron, le manaron los lentes con un motorizado, se probó, los guardó y a los dos días los lentes fallaron y tenían dos días de uso, regresó a los dos semanas para preguntar que pasó y le dijeron que es una mentirosa, que no es posible, que así no salió de laboratorio, que es por el uso, y tengo lentes de 3 años y recién se aflojan, la atención fue mala, no me gustó, los chicos del Scala, tienen cero instrucción de atención al cliente, hechan la culpa al cliente, no se rsponsablizan por su lentitud para resolver problemas y buscar soluciones, debe ser enseguido, para llos es bloqueo y es culpa del cliente. No me gustó para nada, le dijeron que no había ese color y le dieron en otro. </t>
  </si>
  <si>
    <t>Asesoría y tiempo de entrega</t>
  </si>
  <si>
    <t>No me dijo nada al respeto , solo me los dio y se despidió . Diciendo que no había estuches para mis lentes … que si quería vaya a comprar</t>
  </si>
  <si>
    <t xml:space="preserve">JOHN WILLIAM  MONTENEGRO ALVAREZ </t>
  </si>
  <si>
    <t>0905267571</t>
  </si>
  <si>
    <t>0998414088</t>
  </si>
  <si>
    <t>contestó la hija, dice que no sabe nada del caso que el papá es el sr. Jhon y que el hermano le compro los lentes</t>
  </si>
  <si>
    <t>Tuve que regresar a los 2 dias</t>
  </si>
  <si>
    <t xml:space="preserve">NORMA   CHAVEZ </t>
  </si>
  <si>
    <t>1801995133</t>
  </si>
  <si>
    <t>0998305837</t>
  </si>
  <si>
    <t>Si se demoraron unos dias mas</t>
  </si>
  <si>
    <t xml:space="preserve">LUIS ARTURO  CEDEÑO SUAREZ </t>
  </si>
  <si>
    <t>0920003522</t>
  </si>
  <si>
    <t>0985884492</t>
  </si>
  <si>
    <t>mejorar en tiempo de entrega, atención muy buena</t>
  </si>
  <si>
    <t>Pprque tengo nas de 1 semana y no me entregan los lentes</t>
  </si>
  <si>
    <t xml:space="preserve">ANGELICA  ECHEVERRIA </t>
  </si>
  <si>
    <t>0914323118</t>
  </si>
  <si>
    <t>0988822149</t>
  </si>
  <si>
    <t>que no le llamaron a avisar que ya estaban los lentes y espero más de 10 días y se tuvo que acercar ella, cliente enojada por llamarle a preguntar y cuando era para entregarle nadie se comunico</t>
  </si>
  <si>
    <t>El asesor no fue bueno, hasta que vio que iba a comprar un armazón “caro”
El asesor no me explicó el costo de mis lunas a pesar de que no era una medida alta, fueron costosas. Al Ver la factura estaban colocadas cosas que no había pedido y no estaban en mi pedido de lentes</t>
  </si>
  <si>
    <t xml:space="preserve">ESTEFANIA   TOBAR  </t>
  </si>
  <si>
    <t>1003568910</t>
  </si>
  <si>
    <t>0984017322</t>
  </si>
  <si>
    <t>No he recibido hasta el momento mi factura electrónica de una compra realizada el pasado domingo 17 de mayo del 2026
No he recibido hasta el momento la Factura electrónica de la compra realizada el pasado domingo 17 de mayo de 2026.</t>
  </si>
  <si>
    <t xml:space="preserve">MARÍA CAROLINA  FIGUEROA MIRANDA </t>
  </si>
  <si>
    <t>0603371626</t>
  </si>
  <si>
    <t>0998491741</t>
  </si>
  <si>
    <t>Se le envio su factura.</t>
  </si>
  <si>
    <t>Pésimo servicio</t>
  </si>
  <si>
    <t xml:space="preserve">Jordy  Chicaiza 
</t>
  </si>
  <si>
    <t xml:space="preserve">1720354305
</t>
  </si>
  <si>
    <t xml:space="preserve">0958996098
</t>
  </si>
  <si>
    <t xml:space="preserve"> NUÑEZ MONAR SILVANA GISSELA</t>
  </si>
  <si>
    <t>¿Recomendaría Óptica Los Andes a un familiar o amigo?
¿Recomendaría Óptica Los Andes a un familiar o amigo?
La atención del asesor con respecto a la explicación del cuidado y la garantía del producto fue:
La atención del optómetra con respecto a la explicación del uso del producto fue:
¿El tiempo de entrega de su producto fue acorde al tiempo ofrecido?</t>
  </si>
  <si>
    <t>Mucho tiempi entrega le tes mas de 1 semana
Mala calidad
Dijeron una cosa pero entregaron otra
Regular
Me dieron la garantía y los vidrios salieron con manchas. De lo peor</t>
  </si>
  <si>
    <t xml:space="preserve">CHAVEZ CUESTA  DARIO JAVIER </t>
  </si>
  <si>
    <t>1713766440</t>
  </si>
  <si>
    <t>0996183349</t>
  </si>
  <si>
    <t>Indica que los lentes tuvieron que dar garantía por un problema en su pedido pero que las lunas salieron con manchas</t>
  </si>
  <si>
    <t>CARRERA LOMBEIDA JOSSELYN MIKAELA</t>
  </si>
  <si>
    <t>¿Recomendaría Óptica Los Andes a un familiar o amigo?
La atención del asesor con respecto a la explicación del cuidado y la garantía del producto fue:</t>
  </si>
  <si>
    <t>No
Incluyeron un seguro sin la debida explicación.</t>
  </si>
  <si>
    <t xml:space="preserve">HILDA  REASCOS VIZCAINO </t>
  </si>
  <si>
    <t>1703669463</t>
  </si>
  <si>
    <t>0983922618</t>
  </si>
  <si>
    <t xml:space="preserve">Indica que le incluyeron un servicio que ella no solicitó y que lo considera una falta de respeto al cliente y un robo </t>
  </si>
  <si>
    <t xml:space="preserve">PASEO SAN FRANCISCO </t>
  </si>
  <si>
    <t>¿Recomendaría Óptica Los Andes a un familiar o amigo</t>
  </si>
  <si>
    <t>mal tomada la medida</t>
  </si>
  <si>
    <t xml:space="preserve">OLMEDO NARANJO  JORGE RODRIGO </t>
  </si>
  <si>
    <t>1705258281</t>
  </si>
  <si>
    <t>0999494412</t>
  </si>
  <si>
    <t>No contestó</t>
  </si>
  <si>
    <t>BUIJO</t>
  </si>
  <si>
    <t>Valencia Conza Hanna Cristina</t>
  </si>
  <si>
    <t>Se sintió como un valor agregado pero en la facturación se visualiza un costo aparte</t>
  </si>
  <si>
    <t xml:space="preserve">GUERRERO CHINCHAY  GABRIEL DIONISIO </t>
  </si>
  <si>
    <t>0923634380</t>
  </si>
  <si>
    <t>0980841352</t>
  </si>
  <si>
    <t>no recuerda</t>
  </si>
  <si>
    <t>¿Qué tan satisfecho está con la explicación que le dio el asesor respecto a la garantía extendida?
El asesoramiento recibido por el asesor fue:
¿Qué tan satisfecho está con la explicación que le dio el asesor respecto a la garantía extendida?</t>
  </si>
  <si>
    <t>No se hace una explicación detallada por lo que en este año 2026 cuando se perdieron los lentes no lo recordé para solicitar la aplicación de la garantía
Me llevo una mala experiencia, nunca me dijeron que la garantía ola plus tenia costo de 100. Toda mi experiencia se ve dañada por este detalle, no volveré a realizar mis lentes en este lugar
Me llevo una mala experiencia, nunca me dijeron que la garantía ola plus tenia costo de 100. Toda mi experiencia se ve dañada por este detalle, no volveré a realizar mis lentes en este lugar</t>
  </si>
  <si>
    <t xml:space="preserve">EDISON  GUZMAN </t>
  </si>
  <si>
    <t>1722493754</t>
  </si>
  <si>
    <t>0992782978</t>
  </si>
  <si>
    <t>dice que nunca le dijeron que tenia un costo adicional, que solo se lo incluyeron y si hubiera sabido no lo compraba, se le ofrecio la devolucion del OP</t>
  </si>
  <si>
    <t>Demoraron unos días mas</t>
  </si>
  <si>
    <t xml:space="preserve">ROSARIO  MORETA NUÑEZ </t>
  </si>
  <si>
    <t>1705016549</t>
  </si>
  <si>
    <t>0984660285</t>
  </si>
  <si>
    <t>¿Recomendaría Óptica Los Andes a un familiar o amigo?
La atención del asesor con respecto a la explicación del cuidado y la garantía del producto fue:
La atención del optómetra con respecto a la explicación del uso del producto fue:</t>
  </si>
  <si>
    <t>Yo fui y compré el armazon y a poner lunas con medidas tomadas donde mi Doctor optometrista , y al momento de mandar el resultado de la medida de mis ojos repeti lo que me habian indicado en mi Doctor como medida intermedia y yo por desconociemiento no sabia que ese termino queria decir lentes SOLO para leer , me hubieran asesorado que eso era solo medida para leer y eso No es lo que yo queria . Mi familia y yo somos clientes de muchos años con ustedes y no recibi la asesoria indicada , es mas cuando fui a retirar mis lentes senti que se molestaron cunado yo les decia que mis lentes actuales no son asi
el asesor al momento que compre los lentes me atendió muy bien , pero , no me asesoraron al mometo de lo de las lunas
la optometra insistia que mis lentes eran para lectura y que ya me iba a acostumbrar Mis lentes nuevos no me sirven</t>
  </si>
  <si>
    <t xml:space="preserve">HUGO   ALVEAR  </t>
  </si>
  <si>
    <t>0903863082</t>
  </si>
  <si>
    <t>0999374181</t>
  </si>
  <si>
    <t>No contesto</t>
  </si>
  <si>
    <t>Los lentes son muy caros</t>
  </si>
  <si>
    <t xml:space="preserve">MANUEL EDUARDO  DURAN LARREA </t>
  </si>
  <si>
    <t>1712569852</t>
  </si>
  <si>
    <t>0987183371</t>
  </si>
  <si>
    <t xml:space="preserve">indica que la atención es mala y como igual va a comprar ahi no le atienden, se van nomás. </t>
  </si>
  <si>
    <t>atención</t>
  </si>
  <si>
    <t>CUENCA CENTRO</t>
  </si>
  <si>
    <t>MI armazon ya se aflojó y era Rayban, tengo que ir a que me ayuden arreglando tengo mis lentes menos de un mes.</t>
  </si>
  <si>
    <t xml:space="preserve">NATALI ALEXANDRA  AREVALO CABRERA </t>
  </si>
  <si>
    <t>0104490321</t>
  </si>
  <si>
    <t>0962380677</t>
  </si>
  <si>
    <t>que se hizo los lentes en OLA pero no le gusta que le esten llamando todo el día</t>
  </si>
  <si>
    <t>s/c</t>
  </si>
  <si>
    <t>ALCHUNDIA CASTRO GABRIELA LEONOR</t>
  </si>
  <si>
    <t>¿Recomendaría Óptica Los Andes a un familiar o amigo?
¿El tiempo de entrega de su producto fue acorde al tiempo ofrecido?</t>
  </si>
  <si>
    <t>Aún no he recibido mi producto
Se tardaron mas del tiempo acordado</t>
  </si>
  <si>
    <t xml:space="preserve">JOSE ANDRES  JARAMILLO </t>
  </si>
  <si>
    <t>0922618426</t>
  </si>
  <si>
    <t>0996907621</t>
  </si>
  <si>
    <t>Demoraron y no me avisaron que ya había llega si yo no me acerco a preguntar que pasó no me entregaban</t>
  </si>
  <si>
    <t xml:space="preserve">BETTI BEATRIZ  GAVILANES VELASTEGUI </t>
  </si>
  <si>
    <t>1706935259</t>
  </si>
  <si>
    <t>0939725365</t>
  </si>
  <si>
    <t>¿Recomendaría Óptica Los Andes a un familiar o amigo?
El asesoramiento recibido por el asesor fue:
Las recomendaciones recibidas por el optómetra fue:</t>
  </si>
  <si>
    <t>NO PORQUE UN MAL OFTOMETRISTA ME REALIZO MAL UNOS LENTES
TRATARON DE CUBRIRSE EL ERROR ENTRE ELLOS TRATANDO DE NO DEVOLVERME NI LA PLATA NI LA GARANTIA
PESIMA</t>
  </si>
  <si>
    <t xml:space="preserve">MARCOS VINICIO  POZO ENRIQUEZ </t>
  </si>
  <si>
    <t>1711519841</t>
  </si>
  <si>
    <t>0992090440</t>
  </si>
  <si>
    <t>¿Recomendaría Óptica Los Andes a un familiar o amigo?
La atención del optómetra con respecto a la explicación del uso del producto fue:
La atención del asesor con respecto a la explicación del cuidado y la garantía del producto fue:
La atención del optómetra con respecto a la explicación del uso del producto fue:</t>
  </si>
  <si>
    <t>Se dan muchas vueltas para explicar los productos, la doctora se enojo cuando no quise agendar una cita para otro lugar que le revisen las causas de mi ojo seco, me entregaron las lunas rayadas.
No me explico nada
No me explico nada
El optometra no me explico nada de nada solo le reviso que la medida sea la misma.</t>
  </si>
  <si>
    <t xml:space="preserve">MIGUEL ULLOA   </t>
  </si>
  <si>
    <t>1716317316001</t>
  </si>
  <si>
    <t>0983134236</t>
  </si>
  <si>
    <t xml:space="preserve">
¿Recomendaría Óptica Los Andes a un familiar o amigo?
 ¿Qué tan satisfecho está con los beneficios de su armazón/gafas/lunas/lentes de contacto?</t>
  </si>
  <si>
    <t>Por la razón de hacer viajar a mi familia a Guayaquil con un oftalmólogo pediatra agendado que nunca hubo diría que no. Muy poco profesional en ese sentido
Diera un 8 si es que hubiera tenido que esperar 12 días más porque hicieron mal un lente. Y porque al comprar los primeros lentes de mi hija no dieron un simple kit de limpieza es como si el departamento de marketing o ventas no supiera que ese es el primer lente de muchos para los pequeños</t>
  </si>
  <si>
    <t xml:space="preserve">ellos tienen su oftalmólogo de toda la vida pero que como es su niña de 8 años y que tiene la medida alta le recomendaron ir a la clinica, que cuando llegó le indicaron que no era oftalmóloga pediatra, que la persona solo va una vez al mes y qeu eso no le indicaron y que no fue por lo que pagó, pero como ya estaba ahí, hizo el viaje y esperó le hizo atender (el examen todo bien) pero no va a volver, su molestia es poruqe le dijeron que era pediátrica,,,, porque ellos tienen su médico y no había la necesidad. 
los lentes del esposo le entregaron como opacos y veía borroso, le hicieron el cambio y ya se entregó. Agradeció la llamada y el interés por su comentario (y que no vuelve) </t>
  </si>
  <si>
    <t>Junio</t>
  </si>
  <si>
    <t>Nunca me informaron que el producto esta listo, pero si enviaron como 1000 mensajes sobre promociones y que la proxima compra va con descuento.....hacen mal trabajo y piensan que vale la pena todo los descuentos despues. Mas probable la proxima compra ya no será en OLA.
van 2 semanas y AUN NO RECIBO CONFIRMACION. a esto se van a tardar 3 dias para poner los lentes...3 dias...ah...la otra opcion es 2 horas en la Rotonda. solo para poner los lentes. por algo se tardan mucho para todo y hasta siempre se equivocan porque nunca mandan cuando está listo y hace perder el tiempo para que uno vaya a la tienda, como si fuese una trampa.</t>
  </si>
  <si>
    <t xml:space="preserve">UEKI   YOSHIHIRO </t>
  </si>
  <si>
    <t>0908583701</t>
  </si>
  <si>
    <t>0999406311</t>
  </si>
  <si>
    <t>la compra es del 16 de mayo y los lentes un no se entregan, el cliente está molesto y no quiere esperar más tiempos</t>
  </si>
  <si>
    <t>se le escribe para dar informes</t>
  </si>
  <si>
    <t>No se me especificó si el valor era opcional u obligatorio, solamente se me incluyó en la factura</t>
  </si>
  <si>
    <t xml:space="preserve">VALERIA  VINTIMILLA </t>
  </si>
  <si>
    <t>0105818256</t>
  </si>
  <si>
    <t>0987930452</t>
  </si>
  <si>
    <t xml:space="preserve">Cliente cuelga despues del saludo </t>
  </si>
  <si>
    <t>Me ofrecieron los lentes en 5 o días laborales máximo y que me enviaban un mensaje. Pasaron 2 semanas (10 días laborales) y tuve que ir al local, en donde promero me indicaban que el proveedor no les había hecho llegar, luego me pidieron que esperara a la asesora de turno, y ñuego de más de 20 minutos de espera encontraon mis lentes.</t>
  </si>
  <si>
    <t xml:space="preserve">GALO  ESTUPIÑAN VERA </t>
  </si>
  <si>
    <t>0801761891</t>
  </si>
  <si>
    <t>0994670519</t>
  </si>
  <si>
    <t>Cliente indica que la experiencia de compra fue buena sin embargo el proceso de la entrega deberian tomarla con mayor seriedad ya que no se respectan los tiempos lo que hace que dificilmente vuelva a realizar nuevamente la compra.</t>
  </si>
  <si>
    <t>Pésima atención en el local del mall el jardín
El asesor me cobró filtro azul. A pesar de que la orden de lentes no lo solicitaba y no se me informó. Una vez me di cuenta. Al retirar mis lentes la persona que me entregó. Ntento minimizar el hecho diciendo que son filtros básicos. Independiente de eso. El pedido no lo solicitaba. Y gracias a eso. El seguro no me cubrió el valor de las lunas, ya que había colocado más cosas de las que la orden pedía
No me dio ninguna explicación el optometro. Solo un asesor de ventas</t>
  </si>
  <si>
    <t>Indica no tener tiempo para contestar la llamada que por favor lean sus comentarios realizados en la encuesta y que tomen las medidas correctivas</t>
  </si>
  <si>
    <t>no pense que iva a demorar tanto, la proxima vez creo ya no los are en este punto nuevo de riocentro de los ceivos</t>
  </si>
  <si>
    <t xml:space="preserve">CESAR LENIN  MALDONADO VIVANCO </t>
  </si>
  <si>
    <t>1102888979</t>
  </si>
  <si>
    <t>0939394735</t>
  </si>
  <si>
    <t>que nunca le habia pasado que se demoraron tanto en la entrega de los lentes de su hija</t>
  </si>
  <si>
    <t>Se me dijo que posiblemente se me entregaría antes, pero terminaron entregándome los lentes a la semana de comprados. Para una persona que depende de los lentes para trabajar sin problemas es esencial que los lentes sean entregados lo antes posible.</t>
  </si>
  <si>
    <t xml:space="preserve">RUBEN MAURICIO  ENRIQUEZ AGUILAR </t>
  </si>
  <si>
    <t xml:space="preserve">0401318522
</t>
  </si>
  <si>
    <t>0998246919</t>
  </si>
  <si>
    <t>Rompieron el marco de los lentes que dejé para cambio de lunas</t>
  </si>
  <si>
    <t xml:space="preserve">ARRATA DONADEL  CRISTIANE CRISTIANE </t>
  </si>
  <si>
    <t>1705486684</t>
  </si>
  <si>
    <t>0984573026</t>
  </si>
  <si>
    <t>se dio armazón nuevo por la rotura / local se comunicó para arreglar</t>
  </si>
  <si>
    <t>Costos altos</t>
  </si>
  <si>
    <t xml:space="preserve">PABLO GERARDO  DEL SALTO PEREIRA </t>
  </si>
  <si>
    <t>0102378700</t>
  </si>
  <si>
    <t>0985315478</t>
  </si>
  <si>
    <t>precios</t>
  </si>
  <si>
    <t>Demoro un poco más de lo indicado</t>
  </si>
  <si>
    <t xml:space="preserve">JULISSA ELIZABETH  MONTIEL COELLO </t>
  </si>
  <si>
    <t>0921668380</t>
  </si>
  <si>
    <t>0958673413</t>
  </si>
  <si>
    <t>PASEO SHOPPING QUEVEDO</t>
  </si>
  <si>
    <t>CHASI ZAMBRANO KARLA LISBETH</t>
  </si>
  <si>
    <t>Siempre lo e recomendado pero esta vez no me llegan los lentes y me llegan chuecos luego los vuelven a enviar y me llegan otra vez mal ahora con una luna cmsbiad ala médica donde los utilice y me dolía la cabeza tube q llevarlos vuelta donde se demoraron más de 1 mes en solucionarme el inconveniente
Hubo 2 errores en el lente donde se demoraron más de 1 mes en entregármelo</t>
  </si>
  <si>
    <t xml:space="preserve">JONATHAN JOSE  CAICEDO BASTIDAS </t>
  </si>
  <si>
    <t>1206612002</t>
  </si>
  <si>
    <t>0959823492</t>
  </si>
  <si>
    <t>¿Recomendaría Óptica Los Andes a un familiar o amigo?
¿Qué tan satisfecho está con los beneficios de su armazón/gafas/lunas/lentes de contacto?
¿Qué tan satisfecho está con la calidad visual y medidas de sus lunas/lentes de contacto?</t>
  </si>
  <si>
    <t>No
Pésima calidad de cristales
Mal</t>
  </si>
  <si>
    <t>Demoró unos días mas</t>
  </si>
  <si>
    <t xml:space="preserve">JOAN MANUEL  PONCE TOALA </t>
  </si>
  <si>
    <t>1309180741</t>
  </si>
  <si>
    <t>0985377636</t>
  </si>
  <si>
    <t>¿Recomendaría Óptica Los Andes a un familiar o amigo?
La atención del optómetra con respecto a la explicación del uso del producto fue:
La atención del asesor con respecto a la explicación del cuidado y la garantía del producto fue:</t>
  </si>
  <si>
    <t>No hay acesoramiento no buena actitud de venta
Mala
Nada agradable comparado con otras opticas</t>
  </si>
  <si>
    <t xml:space="preserve">MARGOTH  VALENCIA </t>
  </si>
  <si>
    <t>0401403787</t>
  </si>
  <si>
    <t>0987396917</t>
  </si>
  <si>
    <t>q</t>
  </si>
  <si>
    <t xml:space="preserve">JUAN JOSE  CARDENAS OSORIO </t>
  </si>
  <si>
    <t>0965335953</t>
  </si>
  <si>
    <t>0981037519</t>
  </si>
  <si>
    <t>no se cumplió, tuve yo que llamar</t>
  </si>
  <si>
    <t xml:space="preserve">ROCIO ELIZABETH  ARMAS MELO  </t>
  </si>
  <si>
    <t>1706528518</t>
  </si>
  <si>
    <t>0987415717</t>
  </si>
  <si>
    <t>El personal no es excelente, se ponen a estar discutiendo con el cliente y sobre todo cuando hay errores dentro de la óptica mismo no deberían responsabilizar al cliente.</t>
  </si>
  <si>
    <t xml:space="preserve">LIZBETH CAROLINA TOSCANO GUERRA   </t>
  </si>
  <si>
    <t>1725386955001</t>
  </si>
  <si>
    <t>0958890191</t>
  </si>
  <si>
    <t>Pide que se les haga un curso de atención al cliente</t>
  </si>
  <si>
    <t>Atencion al cliente</t>
  </si>
  <si>
    <t xml:space="preserve"> VILLA CUMBAYA</t>
  </si>
  <si>
    <t>No explicó nada del.cuidado. pero.si ajustó los.lentes</t>
  </si>
  <si>
    <t xml:space="preserve">MAURICIO   BAUTISTA  </t>
  </si>
  <si>
    <t>1714039060</t>
  </si>
  <si>
    <t>0981411027</t>
  </si>
  <si>
    <t xml:space="preserve">indica que la atención fue buena sin embargo no se añadieron explicaciónes </t>
  </si>
  <si>
    <t>atencion al cliente</t>
  </si>
  <si>
    <t>No asesoran al momento de vender el producto en este caso no te dicen que te cubre y bajo qué condiciones estás respaldado en mi caso tenía dos pólizas pero no la pude usar en una sola compra</t>
  </si>
  <si>
    <t xml:space="preserve">JUAN GABRIEL  LOOR VINCES </t>
  </si>
  <si>
    <t>1310252174</t>
  </si>
  <si>
    <t>0984036453</t>
  </si>
  <si>
    <t>Indica que deben realizar retroalimentaciones con el personal  ya que considera que no saben  lo que venden</t>
  </si>
  <si>
    <t>Como lo comenté en el anterior caso. Siempre están apurados y ponen mala cara al rato de atender. En varias ocasiones no he recibido atención y por eso no había comprado antes mis lentes, por qué los asesores están más ocupados conversando entre ellos que atendiendo</t>
  </si>
  <si>
    <t xml:space="preserve">DOMÉNICA  JACHO PÁRRAGA </t>
  </si>
  <si>
    <t>1717122699</t>
  </si>
  <si>
    <t>0984565292</t>
  </si>
  <si>
    <t>Indica pesima atención al cliente</t>
  </si>
  <si>
    <t>Atención al cliente</t>
  </si>
  <si>
    <t>No me dio ninguna explicación al respecto</t>
  </si>
  <si>
    <t xml:space="preserve">ESTHER ELENA  COLLAHUAZO MONTERO </t>
  </si>
  <si>
    <t>1202978514</t>
  </si>
  <si>
    <t>0990983838</t>
  </si>
  <si>
    <t>Indica que la atención fue normal no tuvo nada que la considere como una excelente experiencia al cliente</t>
  </si>
  <si>
    <t xml:space="preserve">Atención al cliente </t>
  </si>
  <si>
    <t>METRORED PLAZA DE TOROS_</t>
  </si>
  <si>
    <t>SIMBAÑA CAIZA MELANIE</t>
  </si>
  <si>
    <t>CAIZA ALTAMIRANO GENOVEVA LILIBETH</t>
  </si>
  <si>
    <t>¿Recomendaría Óptica Los Andes a un familiar o amigo?
¿Qué tan satisfecho está con la calidad visual y medidas de sus lunas/lentes de contacto?</t>
  </si>
  <si>
    <t>No estoy conforme con la medida de mis lentes
No siento que son las adecuadas, pese a que fui y me cambiaron las lunas pero no hay cambio</t>
  </si>
  <si>
    <t xml:space="preserve">CARLOS ANDRES  BELMONTE VITERI </t>
  </si>
  <si>
    <t>1710718832</t>
  </si>
  <si>
    <t>0999633910</t>
  </si>
  <si>
    <t>El servicio y la atención brindada excelente, sin embargo, no estoy de acuerdo en que realicen un cobro para una cita sin antes preguntar, se supone que el doctor al momento de finalizar el examen visual da una “sugerencia” de tomar una cita externa pero resulta que el asesor ya incluye este valor excesivamente alto ($70) en la factura y lo unico que dice es para cuando desea la cita, que nos da a entender que de alguna manera viene incluida esta cita, sorpresa al recibir la factura, $70 adicionales por una cita que en otros centros puede ser más económica.</t>
  </si>
  <si>
    <t xml:space="preserve">CHRISTOPHER  OBANDO </t>
  </si>
  <si>
    <t>1721700050</t>
  </si>
  <si>
    <t>0995210947</t>
  </si>
  <si>
    <t>indica que arbitrareamente se le estuvo cobrando por un servicio que no pidio y exige corrijan esa situación ya que los unicos que quedan mal es la empresa como tal</t>
  </si>
  <si>
    <t>ZHINGRE SEGURA ARIEL ALEJANDRO</t>
  </si>
  <si>
    <t>La verdad se hicieron nudo en el proceso de venta, yo necesitaba lentes solo para lectura y no quisieron entregar sino se hacia examen o firmaba un descargo,</t>
  </si>
  <si>
    <t xml:space="preserve">RIVADENEIRA GUEVARA IVAN MARCELO   </t>
  </si>
  <si>
    <t>1707758833001</t>
  </si>
  <si>
    <t>0992331252</t>
  </si>
  <si>
    <t>Alcantara Espinoza Joel Denilson</t>
  </si>
  <si>
    <t>No vi el descuento realmente, lo Compré por necesidad del momento</t>
  </si>
  <si>
    <t xml:space="preserve">MILOVAN DAVID  MANOSALVAS FRIAS </t>
  </si>
  <si>
    <t>0920183019</t>
  </si>
  <si>
    <t>0984702256</t>
  </si>
  <si>
    <t>indica no querer tomar la llamada que no esta interesado en hablar con nosotros</t>
  </si>
  <si>
    <t>el producto no resuelve mi problema de vision
no cumple su funcion
pesima</t>
  </si>
  <si>
    <t xml:space="preserve">LIMA ROSERO  JOSEPH ARIEL </t>
  </si>
  <si>
    <t>1709202319</t>
  </si>
  <si>
    <t>0992723423</t>
  </si>
  <si>
    <t>no contesta</t>
  </si>
  <si>
    <t>Siento que fui mal asesorado, el marco del lente no me queda cómodo
Se demoró y luego solo al buscarles yo me avisaron que estaba listo, no fue proactivo</t>
  </si>
  <si>
    <t xml:space="preserve">JUAN FRANCISCO SALVADOR SALVADOR   </t>
  </si>
  <si>
    <t>1712176773001</t>
  </si>
  <si>
    <t>0992526958</t>
  </si>
  <si>
    <t>No contesta</t>
  </si>
  <si>
    <t>CARRERA MONCAYO ANDREA ESTEFANY</t>
  </si>
  <si>
    <t>El asesoramiento recibido por el asesor fue:
¿Qué tan satisfecho está con la explicación que le dio el asesor respecto a la garantía extendida?</t>
  </si>
  <si>
    <t>No desglosa los valores del lente
No explico q era opcional</t>
  </si>
  <si>
    <t xml:space="preserve">EVELYN MARIA  PERUGACHI TORRES </t>
  </si>
  <si>
    <t>1716725971</t>
  </si>
  <si>
    <t>0987444580</t>
  </si>
  <si>
    <t>QUIÑONEZ MERO ARIANA MISHELL</t>
  </si>
  <si>
    <t>No me siento conforme con los lentes
Hubo un retraso de tiempo para la entrega</t>
  </si>
  <si>
    <t xml:space="preserve">CONSORCIO JURUDICO VALLE &amp; ASOCIADOS   CONSORCIO JURUDICO VALLE &amp; ASOCIADOS  </t>
  </si>
  <si>
    <t>0891770812001</t>
  </si>
  <si>
    <t>0980363306</t>
  </si>
  <si>
    <t>Los precios son altos, las garantías no cumplen lo ofrecido</t>
  </si>
  <si>
    <t xml:space="preserve">ANDRES   REIBAN LASCANO </t>
  </si>
  <si>
    <t>1720912375</t>
  </si>
  <si>
    <t>0995650224</t>
  </si>
  <si>
    <t>Cliente menciona que la experiencia de compra no fue la mejor, ya que no aplico la garantia, lo cual recalca que el a realizado compras de valores alto como 3000 dolares.</t>
  </si>
  <si>
    <t>¿Recomendaría Óptica Los Andes a un familiar o amigo?
La atención del asesor con respecto a la explicación del cuidado y la garantía del producto fue:
La atención del optómetra con respecto a la explicación del uso del producto fue:
¿El tiempo de entrega de su producto fue acorde al tiempo ofrecido?</t>
  </si>
  <si>
    <t>fui a ver mis lentes y estaban mal hechos y armados mal
el producto fue devuelto por fallas de calidad
el producto fue devuelto
hasta ahora no me entregan, porque se limpio la luna de nuevo antes de entregarme</t>
  </si>
  <si>
    <t xml:space="preserve">YEBGUENI   ROLECINSKI </t>
  </si>
  <si>
    <t>1713049276</t>
  </si>
  <si>
    <t>0992747757</t>
  </si>
  <si>
    <t>Cliente menciona que la experiencia de compra no fue la mejor, ya que tuvo que realizar 3 veces el cambio de su marco y es la primera vez que le sucede esto en un optica.</t>
  </si>
  <si>
    <t>NO ME ENTREGARON EL PRODUCTO A MI ENTERA SATISFACCION</t>
  </si>
  <si>
    <t xml:space="preserve">PATRICIO   SIMBAÑA  </t>
  </si>
  <si>
    <t>1002438347</t>
  </si>
  <si>
    <t>0988169856</t>
  </si>
  <si>
    <t>Cliente menciona que tiene una inconformidad con los lentes realizados</t>
  </si>
  <si>
    <t>Kevin</t>
  </si>
  <si>
    <t>Me ofrecieron para un plazo y me entregaron en otro</t>
  </si>
  <si>
    <t xml:space="preserve">ANA LUCIA  DONOSO VELASQUEZ </t>
  </si>
  <si>
    <t>1708617830</t>
  </si>
  <si>
    <t>0985270389</t>
  </si>
  <si>
    <t>El cliente expresa que su principal molestia radica en los tiempos de entrega. Comenta que los asesores de ventas no fueron claros ni honestos con los plazos prometidos, lo que ocasionó que se quedara 3 días sin lentes.</t>
  </si>
  <si>
    <t xml:space="preserve">HERNAN  QUIÑONEZ </t>
  </si>
  <si>
    <t>2100255393</t>
  </si>
  <si>
    <t>0980072746</t>
  </si>
  <si>
    <t>El cliente manifiesta que realizó la compra de unos lentes, en la cual la optometra le indicó que era necesario subir la medida.
Al recibirlos, no pudo ver correctamente con ellos. Los llevó por segunda vez al local y, hasta el momento, no ha recibido respuesta sobre si los lentes ya fueron elaborados sin esa medida adicional.
El cliente indica que con esa medida recomendada no logra visualizar bien.
se llama nuevamente se indica que se puede hacer al local a retirar sus lentes.</t>
  </si>
  <si>
    <t>¿Recomendaría Óptica Los Andes a un familiar o amigo?
La atención del asesor con respecto a la explicación del cuidado y la garantía del producto fue:
 La atención del optómetra con respecto a la explicación del uso del producto fue:
¿El tiempo de entrega de su producto fue acorde al tiempo ofrecido?</t>
  </si>
  <si>
    <t>Pésima atención y sobre todo mala guia
Pésima guia
Sin comentarios
Jamas nos dan una persona para reclamar ...todo es .."escriba luego le responden"</t>
  </si>
  <si>
    <t xml:space="preserve">DIEGO ALFONSO  GONZALEZ SALGADO </t>
  </si>
  <si>
    <t>1708753916</t>
  </si>
  <si>
    <t>0993921967</t>
  </si>
  <si>
    <t>El cliente expresa que tuvo una mala experiencia en la compra. Solicitó la realización de unos lentes y mencionó que iba a llevar los marcos posteriormente. Sin embargo, cuando se acercó a dejar los marcos, le informaron que los lentes ya estaban elaborados.
El cliente se muestra inconforme y pregunta cómo fue posible esto. Además, indica que le comentaron que ninguna oficina del mundo le realizaría la devolución.
Exige que se le haga la devolución porque el 1 de julio debe cancelar su tarjeta.</t>
  </si>
  <si>
    <t>No
No me explicaron nada y para colmo perdieron los estuches de mi lente
En la factura apareció un cargo de 70$ correspondiente a la cita oftalmologica , lo cual me parece venta desleal porque en ningún momento acepté que se me cobre dicha consulta médica adicional
Nunca me escribieron a avisarme que los lentes estaban listos</t>
  </si>
  <si>
    <t xml:space="preserve">MARIA EDUARDA  GUERRA PAZMIÑO </t>
  </si>
  <si>
    <t>0955119151</t>
  </si>
  <si>
    <t>0984693646</t>
  </si>
  <si>
    <t>¿Recomendaría Óptica Los Andes a un familiar o amigo?
¿Qué tan satisfecho está con los beneficios de su armazón/gafas/lunas/lentes de contacto?</t>
  </si>
  <si>
    <t>TRABAJAN NO PROFESIONALES
PESIMO</t>
  </si>
  <si>
    <t xml:space="preserve">
El cliente (quien se identifica como sargento) expresa que solo necesitaba lentes ocupacionales para trabajar en el ordenador y leer de cerca. Se acercó al local de El Condado, donde el optometrista le indicó que necesitaba una medida de 2,75.
Al momento de la entrega, le entregaron los lentes con medida 2,50. El cliente se mostró impactado por el error y se lo hizo saber al optometrista, quien le sugirió “probar cómo le iba” con ellos.
El cliente manifiesta su enojo porque no podía ver de cerca como requería. Regresó a realizar el reclamo y le indicaron que tenía 15 días y que no cubría la garantía. Ante esto, el cliente amenazó con acudir a su abogado.
Una semana después, se comunicaron con él para indicarle que sí aplicaba el reclamo. El cliente termina expresando molestia por toda la situación vivida.</t>
  </si>
  <si>
    <t>Por el costo podría dudarlo</t>
  </si>
  <si>
    <t xml:space="preserve">MARIO GUSTAVO QUINTANA RUEDA   
</t>
  </si>
  <si>
    <t xml:space="preserve">1721006219001
</t>
  </si>
  <si>
    <t xml:space="preserve">0995953509
</t>
  </si>
  <si>
    <t>Están caros mis lentes 465</t>
  </si>
  <si>
    <t xml:space="preserve">VICTOR MANUEL  VINUEZA MONTENEGRO 
</t>
  </si>
  <si>
    <t xml:space="preserve">1712159670
</t>
  </si>
  <si>
    <t xml:space="preserve">0994312849
</t>
  </si>
  <si>
    <t>El cliente menciona que es cliente desde hace varios años.
Indica que lo único que le molesta es el precio, pero entiende que se debe a la necesidad de sus lentes y reconoce que la atención recibida es muy buena.</t>
  </si>
  <si>
    <t xml:space="preserve"> LAGLA CARRION ALEX</t>
  </si>
  <si>
    <t>Nunca
Pésimo servicio</t>
  </si>
  <si>
    <t xml:space="preserve">DIEGO ALFONSO  GONZALEZ SALGADO 
</t>
  </si>
  <si>
    <t xml:space="preserve">1708753916
</t>
  </si>
  <si>
    <t xml:space="preserve">0993921967
</t>
  </si>
  <si>
    <t>La esposa del cliente manifiesta que ya está cansada de recibir llamadas.
Indica que lo único que solicita es la devolución del dinero, ya que no desea perder $1000.
Además, menciona que no irá a retirar las lunas y que no desea acercarse a la tienda.</t>
  </si>
  <si>
    <t>cliente no desea las lunas, solicitó la devolucion, no se accedió, indicó que va a demandar a la empresa porque no hicimos lo que dijo, el local indica que la cliente desistió de la compra por la falta de cobertura de su seguro y que quería adulterar la factura.</t>
  </si>
  <si>
    <t xml:space="preserve"> SCALA SHOPPING</t>
  </si>
  <si>
    <t>¿Recomendaría Óptica Los Andes a un familiar o amigo?
¿Qué tan satisfecho está con la calidad visual y medidas de sus lunas/lentes de contacto?
¿Qué tan satisfecho está con los beneficios de su armazón/gafas/lunas/lentes de contacto?</t>
  </si>
  <si>
    <t>3 veces hicieron mal los lentes
3 veces hicieron mal
3 veces hicieron mal</t>
  </si>
  <si>
    <t xml:space="preserve">YEBGUENI   ROLECINSKI 
</t>
  </si>
  <si>
    <t xml:space="preserve">1713049276
</t>
  </si>
  <si>
    <t xml:space="preserve">0992747757
</t>
  </si>
  <si>
    <t>ANDRADE LOPEZ GABRIELA</t>
  </si>
  <si>
    <t xml:space="preserve"> Innecesaria</t>
  </si>
  <si>
    <t xml:space="preserve">LUIS   ILER  </t>
  </si>
  <si>
    <t>0501647580</t>
  </si>
  <si>
    <t>0985133894</t>
  </si>
  <si>
    <t xml:space="preserve"> Buena experiencia del personal de atención pésima experiencia de la cadena de suministros</t>
  </si>
  <si>
    <t xml:space="preserve">GALO JAVIER  MEZA CEVALLOS 
</t>
  </si>
  <si>
    <t xml:space="preserve">1500583321
</t>
  </si>
  <si>
    <t xml:space="preserve">0992930125
</t>
  </si>
  <si>
    <t>Cliente menciona que le gusto la experiencia de atencion solo le molesta la cadena de suministros y no mas tiempo</t>
  </si>
  <si>
    <t>Julio</t>
  </si>
  <si>
    <t>ALMACHI SALAZAR SOFIA</t>
  </si>
  <si>
    <t>Mis lentes son varilux ex track, con un costó de 619,26 . En Cuenca, no tienen la máquina con la que estoy acostumbrada, me dijeron que era igual y la verdad . Me mintieron no es igual todavía no he ido a reclamar ya que no tengo movilidad . Cada vez tengo que mover la cabezas para poder ver lo que deseo en los lentes anteriores no pasaba esto . Completamente inconforme.
Todos sabemos cómo cuidar nuestros lentes .
Le consulté sobre la máquina que estoy acostumbrada para el chequeo y me dijo que era lo mismo, le dije que en Gquil, hacen el examen con la máquina y le hacer leer la tablet, pero ella aseguró que era lonkismo . Al final no resultó igual . Lo mejor es ser honesto y no hacer ventas por hacerla .</t>
  </si>
  <si>
    <t>TRESPALACIOS PALOMINO JULIO CESAR</t>
  </si>
  <si>
    <t>le falto indicarme opciones de productos</t>
  </si>
  <si>
    <t xml:space="preserve">ANA BARRERA  BARRERA  
</t>
  </si>
  <si>
    <t xml:space="preserve">0911790566001
</t>
  </si>
  <si>
    <t xml:space="preserve">0982635741
</t>
  </si>
  <si>
    <t>La cliente menciona nuevamente lo de la encuesta: no tenían la máquina con la que ella normalmente se realiza los exámenes visuales.
Entre hoy y mañana se acercará a la tienda para que le brinden una solución.</t>
  </si>
  <si>
    <t xml:space="preserve">CESAR LEANDRO  JACOME AÑAZCO </t>
  </si>
  <si>
    <t>0924007115</t>
  </si>
  <si>
    <t>0981556371</t>
  </si>
  <si>
    <t>La persona que me entrego los lentes no me indico nada</t>
  </si>
  <si>
    <t xml:space="preserve">JORGE LUIS  TORRES JARAMILLO </t>
  </si>
  <si>
    <t>1705128146</t>
  </si>
  <si>
    <t>0998629105</t>
  </si>
  <si>
    <t>No desea contestar menciona el cliente.</t>
  </si>
  <si>
    <t>Cargo</t>
  </si>
  <si>
    <t>Nombre</t>
  </si>
  <si>
    <t>TOTAL</t>
  </si>
  <si>
    <t>Optómetra</t>
  </si>
  <si>
    <t>Vendedor</t>
  </si>
  <si>
    <t xml:space="preserve">ENERO (1 AL 31) </t>
  </si>
  <si>
    <t>Observaciones</t>
  </si>
  <si>
    <t xml:space="preserve">Garantía / seguro no explicado o cobrado sin informar
Demoras en entrega / incumplimiento de plazo
</t>
  </si>
  <si>
    <t>Sac</t>
  </si>
  <si>
    <t>Demora en el tiempo de devolución</t>
  </si>
  <si>
    <t>Medidas incorrectas / errores en graduación
Fallas en calidad visual / distorsión</t>
  </si>
  <si>
    <t>FEBRERO (1 AL 22)</t>
  </si>
  <si>
    <t>1. Demoras en entrega / no avisan que el producto está listo
2. Garantía / seguro no explicado o cobrado sin informar
3. Mala atención / falta de asesoría / trato poco profesional</t>
  </si>
  <si>
    <t xml:space="preserve">1. Falta de explicación sobre garantía o uso del producto
2. Lentes mal hechos / problemas de calidad visual
</t>
  </si>
  <si>
    <t>FEBRERO (23 AL 29)</t>
  </si>
  <si>
    <t>MARZO (01 AL 05)</t>
  </si>
  <si>
    <t>MARZO (06 AL 15)</t>
  </si>
  <si>
    <t xml:space="preserve">1. Valor 
2. Lentes con medidas incorrectas / incomodidad visual </t>
  </si>
  <si>
    <t>MARZO (16 AL 22)</t>
  </si>
  <si>
    <t>1. No avisan que el producto está listo
2. Garantía / seguro no explicado o cobrado sin informar</t>
  </si>
  <si>
    <t xml:space="preserve">1. Falta de explicación
2. Lentes con medidas incorrectas / incomodidad visual </t>
  </si>
  <si>
    <t>MARZO (23 AL 29)</t>
  </si>
  <si>
    <t>1. No avisan que el producto está listo 
2. demoras en el tiempo ofrecido
3. Garantía / seguro no explicado o cobrado sin informar</t>
  </si>
  <si>
    <t xml:space="preserve">1. Falta de explicación
</t>
  </si>
  <si>
    <t>MARZO (30 AL 31)</t>
  </si>
  <si>
    <t>MARZO</t>
  </si>
  <si>
    <t>1. Demoras en entrega / no avisan que el producto está listo
2. Garantía / seguro no explicado o cobrado sin informar
3. Mala atención / falta de asesoría / trato poco profesional"</t>
  </si>
  <si>
    <t>1. Falta de explicación
2. Lentes con medidas incorrectas / incomodidad visual 
3. Trato poco profesional</t>
  </si>
  <si>
    <t>MES</t>
  </si>
  <si>
    <t>CANTIDAD ALERTAS</t>
  </si>
  <si>
    <t>No aplica llamada</t>
  </si>
  <si>
    <t>LLAMADAS</t>
  </si>
  <si>
    <t>CONTESTÓ</t>
  </si>
  <si>
    <t>% RESPUESTA</t>
  </si>
  <si>
    <t>SOLUCIONES</t>
  </si>
  <si>
    <t>ABRIL (01 AL 05)</t>
  </si>
  <si>
    <t>ABRIL (06 AL 12)</t>
  </si>
  <si>
    <t xml:space="preserve">1. demora en la entrega
2. Poco profesionalismo
3. incomodidad visual </t>
  </si>
  <si>
    <t>ABRIL (13 AL 16)</t>
  </si>
  <si>
    <t xml:space="preserve">
1. incomodidad visual </t>
  </si>
  <si>
    <t>ABRIL (17 AL 23)</t>
  </si>
  <si>
    <t>ABRIL (24 AL 30)</t>
  </si>
  <si>
    <t>RESUMEN DE ABRIL</t>
  </si>
  <si>
    <t>MAYO</t>
  </si>
  <si>
    <t>JUNIO</t>
  </si>
  <si>
    <t>1. Demora en la entrega de lentes / incumplimiento de fechas
2. Mala atención al cliente y postventa
3. Falta de información ventas de OLAPLUS</t>
  </si>
  <si>
    <t>1. Indican queja por mala calidad en materiales
2. incomodidad visual 
3. Falta de respuesta o evasión ante reclamos</t>
  </si>
  <si>
    <t>MAYO (1 AL 7)</t>
  </si>
  <si>
    <t>JUNIO (1 AL 4)</t>
  </si>
  <si>
    <t xml:space="preserve">Indican queja por mala calidad en materiales
incomodidad visual </t>
  </si>
  <si>
    <t>MAYO (8 AL 14)</t>
  </si>
  <si>
    <t>JUNIO (5 AL 11)</t>
  </si>
  <si>
    <t xml:space="preserve">
incomodidad visual </t>
  </si>
  <si>
    <t>MAYO (15 AL 21)</t>
  </si>
  <si>
    <t>JUNIO (12 AL 18)</t>
  </si>
  <si>
    <t>1. Demora en la entrega de lentes / incumplimiento de fechas
2. Falta de información ventas de OLAPLUS</t>
  </si>
  <si>
    <t>MAYO (22 AL 28)</t>
  </si>
  <si>
    <t>JUNIO (19 AL 23)</t>
  </si>
  <si>
    <t>1. Repetición de errores en la elaboración de lentes
2. Servicio pésimo
3. Pérdida de tiempo generada por los errores repetidos.</t>
  </si>
  <si>
    <t>MAYO (29 AL 31)</t>
  </si>
  <si>
    <t>JUNIO (24 AL 30)</t>
  </si>
  <si>
    <t>1. Mala atención
2. Falta de explicación
3. Falta de comunicación sobre el pedido</t>
  </si>
  <si>
    <t xml:space="preserve">
1. incomodidad visual 
</t>
  </si>
  <si>
    <t>1. Inconformidad en el servicio
2. Servicio al cliente desagradable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</si>
</sst>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0"/>
      <color theme="0"/>
      <name val="Calibri"/>
      <family val="2"/>
    </font>
    <font>
      <b/>
      <sz val="8"/>
      <color theme="0"/>
      <name val="Calibri"/>
      <family val="2"/>
    </font>
    <font>
      <sz val="8"/>
      <color theme="1"/>
      <name val="Calibri"/>
      <family val="2"/>
    </font>
    <font>
      <sz val="8"/>
      <color theme="0"/>
      <name val="Calibri"/>
      <family val="2"/>
    </font>
    <font>
      <sz val="8"/>
      <name val="Calibri"/>
      <family val="2"/>
    </font>
    <font>
      <sz val="8"/>
      <color rgb="FF242424"/>
      <name val="Calibri"/>
      <family val="2"/>
    </font>
    <font>
      <sz val="8"/>
      <color rgb="FF000000"/>
      <name val="Calibri"/>
      <family val="2"/>
    </font>
    <font>
      <sz val="8"/>
      <color theme="1"/>
      <name val="Calibri"/>
      <family val="2"/>
      <scheme val="minor"/>
    </font>
    <font>
      <sz val="8"/>
      <color theme="1"/>
      <name val="Calibri"/>
    </font>
    <font>
      <sz val="8"/>
      <name val="Calibri"/>
    </font>
    <font>
      <sz val="11"/>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b/>
      <sz val="8"/>
      <color theme="0"/>
      <name val="Calibri"/>
      <family val="2"/>
      <scheme val="minor"/>
    </font>
    <font>
      <sz val="10"/>
      <color theme="1"/>
      <name val="Calibri"/>
      <family val="2"/>
      <scheme val="minor"/>
    </font>
    <font>
      <b/>
      <sz val="10"/>
      <color theme="0"/>
      <name val="Calibri"/>
      <family val="2"/>
      <scheme val="minor"/>
    </font>
    <font>
      <sz val="9"/>
      <color theme="1" tint="0.499984740745262"/>
      <name val="Calibri"/>
      <family val="2"/>
      <scheme val="minor"/>
    </font>
    <font>
      <sz val="9"/>
      <color theme="1"/>
      <name val="Calibri"/>
      <family val="2"/>
    </font>
    <font>
      <sz val="8"/>
      <color rgb="FF000000"/>
      <name val="Calibri"/>
      <family val="2"/>
      <scheme val="minor"/>
    </font>
    <font>
      <sz val="8"/>
      <name val="Calibri"/>
      <scheme val="minor"/>
    </font>
    <font>
      <sz val="8"/>
      <color rgb="FF000000"/>
      <name val="Calibri"/>
      <charset val="1"/>
    </font>
  </fonts>
  <fills count="12">
    <fill>
      <patternFill patternType="none"/>
    </fill>
    <fill>
      <patternFill patternType="gray125"/>
    </fill>
    <fill>
      <patternFill patternType="solid">
        <fgColor theme="3"/>
        <bgColor indexed="64"/>
      </patternFill>
    </fill>
    <fill>
      <patternFill patternType="solid">
        <fgColor theme="4" tint="-0.49998474074526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bgColor indexed="64"/>
      </patternFill>
    </fill>
    <fill>
      <patternFill patternType="solid">
        <fgColor theme="0"/>
        <bgColor indexed="64"/>
      </patternFill>
    </fill>
    <fill>
      <patternFill patternType="solid">
        <fgColor theme="1"/>
        <bgColor indexed="64"/>
      </patternFill>
    </fill>
    <fill>
      <patternFill patternType="solid">
        <fgColor theme="5" tint="-0.499984740745262"/>
        <bgColor indexed="64"/>
      </patternFill>
    </fill>
    <fill>
      <patternFill patternType="solid">
        <fgColor rgb="FFFFFFFF"/>
        <bgColor indexed="64"/>
      </patternFill>
    </fill>
  </fills>
  <borders count="5">
    <border>
      <left/>
      <right/>
      <top/>
      <bottom/>
      <diagonal/>
    </border>
    <border>
      <left/>
      <right/>
      <top/>
      <bottom style="dotted">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hair">
        <color auto="1"/>
      </left>
      <right style="hair">
        <color auto="1"/>
      </right>
      <top style="hair">
        <color auto="1"/>
      </top>
      <bottom style="hair">
        <color auto="1"/>
      </bottom>
      <diagonal/>
    </border>
  </borders>
  <cellStyleXfs count="2">
    <xf numFmtId="0" fontId="0" fillId="0" borderId="0"/>
    <xf numFmtId="9" fontId="11" fillId="0" borderId="0" applyFont="0" applyFill="0" applyBorder="0" applyAlignment="0" applyProtection="0"/>
  </cellStyleXfs>
  <cellXfs count="175">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vertical="center"/>
    </xf>
    <xf numFmtId="0" fontId="1" fillId="3" borderId="0" xfId="0" applyFont="1" applyFill="1"/>
    <xf numFmtId="0" fontId="1" fillId="2" borderId="0" xfId="0" applyFont="1" applyFill="1" applyAlignment="1">
      <alignment horizontal="center" vertical="center"/>
    </xf>
    <xf numFmtId="49" fontId="1" fillId="2" borderId="0" xfId="0" applyNumberFormat="1" applyFont="1" applyFill="1" applyAlignment="1">
      <alignment horizontal="center" vertical="center"/>
    </xf>
    <xf numFmtId="0" fontId="2" fillId="2" borderId="1" xfId="0" applyFont="1" applyFill="1" applyBorder="1" applyAlignment="1">
      <alignment horizontal="left" vertical="center"/>
    </xf>
    <xf numFmtId="0" fontId="3" fillId="0" borderId="0" xfId="0" applyFont="1" applyAlignment="1">
      <alignment horizontal="left"/>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2" fillId="3" borderId="0" xfId="0" applyFont="1" applyFill="1"/>
    <xf numFmtId="49" fontId="2" fillId="2" borderId="1" xfId="0" applyNumberFormat="1" applyFont="1" applyFill="1" applyBorder="1" applyAlignment="1">
      <alignment horizontal="left" vertical="center"/>
    </xf>
    <xf numFmtId="0" fontId="4" fillId="4" borderId="1" xfId="0" applyFont="1" applyFill="1" applyBorder="1" applyAlignment="1">
      <alignment horizontal="center" vertical="center" wrapText="1"/>
    </xf>
    <xf numFmtId="0" fontId="2" fillId="7" borderId="1" xfId="0" applyFont="1" applyFill="1" applyBorder="1" applyAlignment="1">
      <alignment horizontal="center" vertical="center"/>
    </xf>
    <xf numFmtId="0" fontId="3" fillId="0" borderId="0" xfId="0" applyFont="1"/>
    <xf numFmtId="16" fontId="3" fillId="0" borderId="0" xfId="0" applyNumberFormat="1" applyFont="1"/>
    <xf numFmtId="14" fontId="3" fillId="0" borderId="0" xfId="0" applyNumberFormat="1" applyFont="1"/>
    <xf numFmtId="0" fontId="3" fillId="0" borderId="0" xfId="0" applyFont="1" applyAlignment="1">
      <alignment horizontal="center"/>
    </xf>
    <xf numFmtId="0" fontId="3" fillId="6" borderId="0" xfId="0" applyFont="1" applyFill="1"/>
    <xf numFmtId="16" fontId="3" fillId="6" borderId="0" xfId="0" applyNumberFormat="1" applyFont="1" applyFill="1"/>
    <xf numFmtId="0" fontId="3" fillId="6" borderId="0" xfId="0" applyFont="1" applyFill="1" applyAlignment="1">
      <alignment horizontal="center"/>
    </xf>
    <xf numFmtId="0" fontId="3" fillId="6" borderId="0" xfId="0" applyFont="1" applyFill="1" applyAlignment="1">
      <alignment horizontal="left"/>
    </xf>
    <xf numFmtId="49" fontId="3" fillId="6" borderId="0" xfId="0" applyNumberFormat="1" applyFont="1" applyFill="1" applyAlignment="1">
      <alignment horizontal="left"/>
    </xf>
    <xf numFmtId="49" fontId="3" fillId="6" borderId="0" xfId="0" applyNumberFormat="1" applyFont="1" applyFill="1" applyAlignment="1">
      <alignment horizontal="center"/>
    </xf>
    <xf numFmtId="49" fontId="3" fillId="0" borderId="0" xfId="0" applyNumberFormat="1" applyFont="1" applyAlignment="1">
      <alignment horizontal="left"/>
    </xf>
    <xf numFmtId="49" fontId="3" fillId="0" borderId="0" xfId="0" applyNumberFormat="1" applyFont="1" applyAlignment="1">
      <alignment horizontal="center"/>
    </xf>
    <xf numFmtId="0" fontId="3" fillId="5" borderId="0" xfId="0" applyFont="1" applyFill="1"/>
    <xf numFmtId="16" fontId="3" fillId="5" borderId="0" xfId="0" applyNumberFormat="1" applyFont="1" applyFill="1"/>
    <xf numFmtId="0" fontId="3" fillId="5" borderId="0" xfId="0" applyFont="1" applyFill="1" applyAlignment="1">
      <alignment horizontal="center"/>
    </xf>
    <xf numFmtId="0" fontId="5" fillId="0" borderId="0" xfId="0" applyFont="1" applyAlignment="1">
      <alignment horizontal="left"/>
    </xf>
    <xf numFmtId="49" fontId="5" fillId="0" borderId="0" xfId="0" applyNumberFormat="1" applyFont="1" applyAlignment="1">
      <alignment horizontal="center"/>
    </xf>
    <xf numFmtId="0" fontId="3" fillId="0" borderId="0" xfId="0" applyFont="1" applyAlignment="1">
      <alignment horizontal="left" indent="1"/>
    </xf>
    <xf numFmtId="0" fontId="3" fillId="0" borderId="0" xfId="0" applyFont="1" applyAlignment="1">
      <alignment wrapText="1"/>
    </xf>
    <xf numFmtId="0" fontId="3" fillId="5" borderId="0" xfId="0" applyFont="1" applyFill="1" applyAlignment="1">
      <alignment horizontal="left"/>
    </xf>
    <xf numFmtId="49" fontId="3" fillId="5" borderId="0" xfId="0" applyNumberFormat="1" applyFont="1" applyFill="1"/>
    <xf numFmtId="0" fontId="5" fillId="0" borderId="0" xfId="0" applyFont="1" applyAlignment="1">
      <alignment horizontal="left" wrapText="1"/>
    </xf>
    <xf numFmtId="49" fontId="3" fillId="0" borderId="0" xfId="0" applyNumberFormat="1" applyFont="1" applyAlignment="1">
      <alignment horizontal="center" vertical="center" wrapText="1"/>
    </xf>
    <xf numFmtId="0" fontId="3" fillId="8" borderId="0" xfId="0" applyFont="1" applyFill="1" applyAlignment="1">
      <alignment horizontal="center"/>
    </xf>
    <xf numFmtId="0" fontId="3" fillId="8" borderId="0" xfId="0" applyFont="1" applyFill="1"/>
    <xf numFmtId="49" fontId="5" fillId="0" borderId="0" xfId="0" applyNumberFormat="1" applyFont="1" applyAlignment="1">
      <alignment horizontal="left"/>
    </xf>
    <xf numFmtId="0" fontId="3" fillId="8" borderId="0" xfId="0" applyFont="1" applyFill="1" applyAlignment="1">
      <alignment wrapText="1"/>
    </xf>
    <xf numFmtId="0" fontId="6" fillId="0" borderId="0" xfId="0" applyFont="1"/>
    <xf numFmtId="0" fontId="3" fillId="0" borderId="0" xfId="0" applyFont="1" applyAlignment="1">
      <alignment vertical="top"/>
    </xf>
    <xf numFmtId="0" fontId="3" fillId="0" borderId="0" xfId="0" applyFont="1" applyAlignment="1">
      <alignment horizontal="center" vertical="top"/>
    </xf>
    <xf numFmtId="0" fontId="3" fillId="0" borderId="0" xfId="0" applyFont="1" applyAlignment="1">
      <alignment horizontal="left" vertical="top" wrapText="1"/>
    </xf>
    <xf numFmtId="49" fontId="3" fillId="0" borderId="0" xfId="0" applyNumberFormat="1" applyFont="1" applyAlignment="1">
      <alignment horizontal="left" vertical="top" wrapText="1"/>
    </xf>
    <xf numFmtId="49" fontId="3" fillId="0" borderId="0" xfId="0" applyNumberFormat="1" applyFont="1" applyAlignment="1">
      <alignment horizontal="center" vertical="top"/>
    </xf>
    <xf numFmtId="49" fontId="3" fillId="0" borderId="0" xfId="0" applyNumberFormat="1" applyFont="1" applyAlignment="1">
      <alignment horizontal="left" vertical="top"/>
    </xf>
    <xf numFmtId="0" fontId="3" fillId="0" borderId="0" xfId="0" applyFont="1" applyAlignment="1">
      <alignment horizontal="left" vertical="top"/>
    </xf>
    <xf numFmtId="0" fontId="5" fillId="0" borderId="0" xfId="0" applyFont="1"/>
    <xf numFmtId="49" fontId="3" fillId="0" borderId="0" xfId="0" quotePrefix="1" applyNumberFormat="1" applyFont="1" applyAlignment="1">
      <alignment horizontal="left"/>
    </xf>
    <xf numFmtId="0" fontId="3" fillId="0" borderId="0" xfId="0" applyFont="1" applyProtection="1">
      <protection locked="0"/>
    </xf>
    <xf numFmtId="0" fontId="3" fillId="0" borderId="0" xfId="0" applyFont="1" applyAlignment="1" applyProtection="1">
      <alignment horizontal="left"/>
      <protection locked="0"/>
    </xf>
    <xf numFmtId="0" fontId="3" fillId="0" borderId="0" xfId="0" quotePrefix="1" applyFont="1" applyAlignment="1" applyProtection="1">
      <alignment horizontal="left"/>
      <protection locked="0"/>
    </xf>
    <xf numFmtId="49" fontId="3" fillId="0" borderId="0" xfId="0" applyNumberFormat="1" applyFont="1" applyAlignment="1" applyProtection="1">
      <alignment horizontal="left"/>
      <protection locked="0"/>
    </xf>
    <xf numFmtId="0" fontId="3" fillId="0" borderId="0" xfId="0" applyFont="1" applyAlignment="1">
      <alignment vertical="center"/>
    </xf>
    <xf numFmtId="0" fontId="3" fillId="0" borderId="0" xfId="0" applyFont="1" applyAlignment="1">
      <alignment horizontal="center" vertical="center"/>
    </xf>
    <xf numFmtId="0" fontId="5" fillId="0" borderId="0" xfId="0" applyFont="1" applyAlignment="1">
      <alignment vertical="top" wrapText="1"/>
    </xf>
    <xf numFmtId="49" fontId="3" fillId="0" borderId="0" xfId="0" applyNumberFormat="1" applyFont="1" applyAlignment="1">
      <alignment horizontal="left" vertical="center"/>
    </xf>
    <xf numFmtId="49" fontId="5" fillId="0" borderId="0" xfId="0" applyNumberFormat="1" applyFont="1" applyAlignment="1">
      <alignment vertical="center"/>
    </xf>
    <xf numFmtId="49" fontId="5" fillId="0" borderId="0" xfId="0" applyNumberFormat="1" applyFont="1"/>
    <xf numFmtId="49" fontId="3" fillId="0" borderId="0" xfId="0" applyNumberFormat="1" applyFont="1" applyProtection="1">
      <protection locked="0"/>
    </xf>
    <xf numFmtId="0" fontId="8" fillId="0" borderId="0" xfId="0" applyFont="1"/>
    <xf numFmtId="0" fontId="9" fillId="6" borderId="0" xfId="0" applyFont="1" applyFill="1"/>
    <xf numFmtId="16" fontId="9" fillId="6" borderId="0" xfId="0" applyNumberFormat="1" applyFont="1" applyFill="1"/>
    <xf numFmtId="0" fontId="9" fillId="6" borderId="0" xfId="0" applyFont="1" applyFill="1" applyAlignment="1">
      <alignment horizontal="center"/>
    </xf>
    <xf numFmtId="0" fontId="9" fillId="6" borderId="0" xfId="0" applyFont="1" applyFill="1" applyAlignment="1">
      <alignment horizontal="left"/>
    </xf>
    <xf numFmtId="49" fontId="9" fillId="6" borderId="0" xfId="0" applyNumberFormat="1" applyFont="1" applyFill="1" applyAlignment="1">
      <alignment horizontal="left"/>
    </xf>
    <xf numFmtId="49" fontId="9" fillId="6" borderId="0" xfId="0" applyNumberFormat="1" applyFont="1" applyFill="1" applyAlignment="1">
      <alignment horizontal="center"/>
    </xf>
    <xf numFmtId="0" fontId="9" fillId="0" borderId="0" xfId="0" applyFont="1"/>
    <xf numFmtId="16" fontId="9" fillId="0" borderId="0" xfId="0" applyNumberFormat="1" applyFont="1"/>
    <xf numFmtId="0" fontId="9" fillId="0" borderId="0" xfId="0" applyFont="1" applyAlignment="1">
      <alignment horizontal="center"/>
    </xf>
    <xf numFmtId="0" fontId="9" fillId="0" borderId="0" xfId="0" applyFont="1" applyAlignment="1">
      <alignment horizontal="left"/>
    </xf>
    <xf numFmtId="49" fontId="9" fillId="0" borderId="0" xfId="0" applyNumberFormat="1" applyFont="1" applyAlignment="1">
      <alignment horizontal="left"/>
    </xf>
    <xf numFmtId="49" fontId="9" fillId="0" borderId="0" xfId="0" applyNumberFormat="1" applyFont="1" applyAlignment="1">
      <alignment horizontal="center"/>
    </xf>
    <xf numFmtId="0" fontId="9" fillId="0" borderId="0" xfId="0" applyFont="1" applyAlignment="1">
      <alignment vertical="top"/>
    </xf>
    <xf numFmtId="16" fontId="9" fillId="0" borderId="0" xfId="0" applyNumberFormat="1" applyFont="1" applyAlignment="1">
      <alignment vertical="top"/>
    </xf>
    <xf numFmtId="0" fontId="9" fillId="0" borderId="0" xfId="0" applyFont="1" applyAlignment="1">
      <alignment horizontal="center" vertical="top"/>
    </xf>
    <xf numFmtId="0" fontId="9" fillId="0" borderId="0" xfId="0" applyFont="1" applyAlignment="1">
      <alignment horizontal="left" vertical="top" wrapText="1"/>
    </xf>
    <xf numFmtId="49" fontId="9" fillId="0" borderId="0" xfId="0" applyNumberFormat="1" applyFont="1" applyAlignment="1">
      <alignment horizontal="left" vertical="top" wrapText="1"/>
    </xf>
    <xf numFmtId="49" fontId="9" fillId="0" borderId="0" xfId="0" applyNumberFormat="1" applyFont="1" applyAlignment="1">
      <alignment horizontal="center" vertical="top"/>
    </xf>
    <xf numFmtId="0" fontId="9" fillId="5" borderId="0" xfId="0" applyFont="1" applyFill="1"/>
    <xf numFmtId="0" fontId="10" fillId="0" borderId="0" xfId="0" applyFont="1"/>
    <xf numFmtId="0" fontId="10" fillId="0" borderId="0" xfId="0" applyFont="1" applyAlignment="1">
      <alignment horizontal="left"/>
    </xf>
    <xf numFmtId="0" fontId="9" fillId="0" borderId="0" xfId="0" applyFont="1" applyAlignment="1">
      <alignment vertical="center"/>
    </xf>
    <xf numFmtId="16" fontId="9" fillId="0" borderId="0" xfId="0" applyNumberFormat="1" applyFont="1" applyAlignment="1">
      <alignment vertical="center"/>
    </xf>
    <xf numFmtId="0" fontId="9" fillId="0" borderId="0" xfId="0" applyFont="1" applyAlignment="1">
      <alignment horizontal="center" vertical="center"/>
    </xf>
    <xf numFmtId="49" fontId="10" fillId="0" borderId="0" xfId="0" applyNumberFormat="1" applyFont="1" applyAlignment="1">
      <alignment vertical="center"/>
    </xf>
    <xf numFmtId="0" fontId="9" fillId="0" borderId="0" xfId="0" applyFont="1" applyProtection="1">
      <protection locked="0"/>
    </xf>
    <xf numFmtId="0" fontId="9" fillId="0" borderId="0" xfId="0" applyFont="1" applyAlignment="1" applyProtection="1">
      <alignment horizontal="left"/>
      <protection locked="0"/>
    </xf>
    <xf numFmtId="49" fontId="9" fillId="0" borderId="0" xfId="0" applyNumberFormat="1" applyFont="1" applyAlignment="1" applyProtection="1">
      <alignment horizontal="left"/>
      <protection locked="0"/>
    </xf>
    <xf numFmtId="49" fontId="9" fillId="0" borderId="0" xfId="0" quotePrefix="1" applyNumberFormat="1" applyFont="1" applyAlignment="1">
      <alignment horizontal="left"/>
    </xf>
    <xf numFmtId="49" fontId="2" fillId="2" borderId="1" xfId="0" applyNumberFormat="1" applyFont="1" applyFill="1" applyBorder="1" applyAlignment="1">
      <alignment horizontal="center" vertical="center"/>
    </xf>
    <xf numFmtId="49" fontId="3" fillId="5" borderId="0" xfId="0" applyNumberFormat="1" applyFont="1" applyFill="1" applyAlignment="1">
      <alignment horizontal="center"/>
    </xf>
    <xf numFmtId="49" fontId="3" fillId="0" borderId="0" xfId="0" quotePrefix="1" applyNumberFormat="1" applyFont="1" applyAlignment="1">
      <alignment horizontal="center"/>
    </xf>
    <xf numFmtId="0" fontId="3" fillId="0" borderId="0" xfId="0" applyFont="1" applyAlignment="1" applyProtection="1">
      <alignment horizontal="center"/>
      <protection locked="0"/>
    </xf>
    <xf numFmtId="49" fontId="5" fillId="0" borderId="0" xfId="0" applyNumberFormat="1" applyFont="1" applyAlignment="1">
      <alignment horizontal="center" vertical="center"/>
    </xf>
    <xf numFmtId="49" fontId="3" fillId="0" borderId="0" xfId="0" applyNumberFormat="1" applyFont="1" applyAlignment="1" applyProtection="1">
      <alignment horizontal="center"/>
      <protection locked="0"/>
    </xf>
    <xf numFmtId="0" fontId="12" fillId="0" borderId="0" xfId="0" applyFont="1"/>
    <xf numFmtId="0" fontId="12" fillId="0" borderId="0" xfId="0" applyFont="1" applyAlignment="1">
      <alignment horizontal="center"/>
    </xf>
    <xf numFmtId="0" fontId="13" fillId="0" borderId="0" xfId="0" applyFont="1" applyAlignment="1">
      <alignment horizontal="center"/>
    </xf>
    <xf numFmtId="0" fontId="12" fillId="0" borderId="4" xfId="0" applyFont="1" applyBorder="1"/>
    <xf numFmtId="0" fontId="12" fillId="0" borderId="4" xfId="0" applyFont="1" applyBorder="1" applyAlignment="1">
      <alignment horizontal="center"/>
    </xf>
    <xf numFmtId="9" fontId="12" fillId="0" borderId="4" xfId="1" applyFont="1" applyBorder="1" applyAlignment="1">
      <alignment horizontal="center"/>
    </xf>
    <xf numFmtId="0" fontId="14" fillId="2" borderId="4" xfId="0" applyFont="1" applyFill="1" applyBorder="1" applyAlignment="1">
      <alignment horizontal="center" vertical="center"/>
    </xf>
    <xf numFmtId="0" fontId="14" fillId="2" borderId="4" xfId="0" applyFont="1" applyFill="1" applyBorder="1" applyAlignment="1">
      <alignment horizontal="center" vertical="center" wrapText="1"/>
    </xf>
    <xf numFmtId="0" fontId="15" fillId="2" borderId="4" xfId="0" applyFont="1" applyFill="1" applyBorder="1" applyAlignment="1">
      <alignment horizontal="center" vertical="center" wrapText="1"/>
    </xf>
    <xf numFmtId="49" fontId="3" fillId="0" borderId="0" xfId="0" applyNumberFormat="1" applyFont="1"/>
    <xf numFmtId="0" fontId="16" fillId="0" borderId="0" xfId="0" applyFont="1"/>
    <xf numFmtId="0" fontId="16" fillId="0" borderId="0" xfId="0" applyFont="1" applyAlignment="1">
      <alignment wrapText="1"/>
    </xf>
    <xf numFmtId="0" fontId="17" fillId="2" borderId="2" xfId="0" applyFont="1" applyFill="1" applyBorder="1"/>
    <xf numFmtId="0" fontId="16" fillId="0" borderId="2" xfId="0" applyFont="1" applyBorder="1" applyAlignment="1">
      <alignment vertical="center"/>
    </xf>
    <xf numFmtId="0" fontId="16" fillId="0" borderId="2" xfId="0" applyFont="1" applyBorder="1" applyAlignment="1">
      <alignment vertical="center" wrapText="1"/>
    </xf>
    <xf numFmtId="0" fontId="16" fillId="0" borderId="3" xfId="0" applyFont="1" applyBorder="1" applyAlignment="1">
      <alignment vertical="center"/>
    </xf>
    <xf numFmtId="0" fontId="17" fillId="2" borderId="0" xfId="0" applyFont="1" applyFill="1"/>
    <xf numFmtId="0" fontId="17" fillId="2" borderId="2" xfId="0" applyFont="1" applyFill="1" applyBorder="1" applyAlignment="1">
      <alignment horizontal="center"/>
    </xf>
    <xf numFmtId="0" fontId="16" fillId="0" borderId="2" xfId="0" applyFont="1" applyBorder="1" applyAlignment="1">
      <alignment horizontal="center" vertical="center"/>
    </xf>
    <xf numFmtId="9" fontId="16" fillId="0" borderId="2" xfId="0" applyNumberFormat="1" applyFont="1" applyBorder="1" applyAlignment="1">
      <alignment horizontal="center" vertical="center"/>
    </xf>
    <xf numFmtId="0" fontId="16" fillId="0" borderId="3" xfId="0" applyFont="1" applyBorder="1" applyAlignment="1">
      <alignment horizontal="center" vertical="center"/>
    </xf>
    <xf numFmtId="9" fontId="16" fillId="0" borderId="3" xfId="0" applyNumberFormat="1" applyFont="1" applyBorder="1" applyAlignment="1">
      <alignment horizontal="center" vertical="center"/>
    </xf>
    <xf numFmtId="0" fontId="16" fillId="0" borderId="0" xfId="0" applyFont="1" applyAlignment="1">
      <alignment horizontal="center"/>
    </xf>
    <xf numFmtId="9" fontId="16" fillId="0" borderId="0" xfId="0" applyNumberFormat="1" applyFont="1" applyAlignment="1">
      <alignment horizontal="center"/>
    </xf>
    <xf numFmtId="0" fontId="17" fillId="2" borderId="0" xfId="0" applyFont="1" applyFill="1" applyAlignment="1">
      <alignment horizontal="center"/>
    </xf>
    <xf numFmtId="9" fontId="17" fillId="2" borderId="2" xfId="0" applyNumberFormat="1" applyFont="1" applyFill="1" applyBorder="1" applyAlignment="1">
      <alignment horizontal="center"/>
    </xf>
    <xf numFmtId="10" fontId="16" fillId="0" borderId="2" xfId="0" applyNumberFormat="1" applyFont="1" applyBorder="1" applyAlignment="1">
      <alignment horizontal="center" vertical="center"/>
    </xf>
    <xf numFmtId="9" fontId="12" fillId="0" borderId="0" xfId="0" applyNumberFormat="1" applyFont="1" applyAlignment="1">
      <alignment horizontal="center"/>
    </xf>
    <xf numFmtId="0" fontId="7" fillId="0" borderId="0" xfId="0" applyFont="1" applyAlignment="1">
      <alignment horizontal="center"/>
    </xf>
    <xf numFmtId="49" fontId="3" fillId="8" borderId="0" xfId="0" applyNumberFormat="1" applyFont="1" applyFill="1" applyAlignment="1">
      <alignment horizontal="left"/>
    </xf>
    <xf numFmtId="0" fontId="3" fillId="8" borderId="0" xfId="0" applyFont="1" applyFill="1" applyAlignment="1">
      <alignment horizontal="left"/>
    </xf>
    <xf numFmtId="0" fontId="18" fillId="0" borderId="0" xfId="0" applyFont="1" applyAlignment="1">
      <alignment horizontal="center"/>
    </xf>
    <xf numFmtId="2" fontId="16" fillId="0" borderId="2" xfId="0" applyNumberFormat="1" applyFont="1" applyBorder="1" applyAlignment="1">
      <alignment horizontal="center" vertical="center"/>
    </xf>
    <xf numFmtId="2" fontId="16" fillId="0" borderId="3" xfId="0" applyNumberFormat="1" applyFont="1" applyBorder="1" applyAlignment="1">
      <alignment horizontal="center" vertical="center"/>
    </xf>
    <xf numFmtId="0" fontId="8" fillId="0" borderId="0" xfId="0" applyFont="1" applyAlignment="1">
      <alignment horizontal="center"/>
    </xf>
    <xf numFmtId="0" fontId="15" fillId="9" borderId="4" xfId="0" applyFont="1" applyFill="1" applyBorder="1" applyAlignment="1">
      <alignment horizontal="center"/>
    </xf>
    <xf numFmtId="0" fontId="8" fillId="8" borderId="4" xfId="0" applyFont="1" applyFill="1" applyBorder="1"/>
    <xf numFmtId="0" fontId="8" fillId="0" borderId="4" xfId="0" applyFont="1" applyBorder="1" applyAlignment="1">
      <alignment horizontal="center"/>
    </xf>
    <xf numFmtId="0" fontId="8" fillId="8" borderId="4" xfId="0" applyFont="1" applyFill="1" applyBorder="1" applyAlignment="1">
      <alignment vertical="top"/>
    </xf>
    <xf numFmtId="0" fontId="8" fillId="8" borderId="4" xfId="0" applyFont="1" applyFill="1" applyBorder="1" applyAlignment="1">
      <alignment horizontal="center"/>
    </xf>
    <xf numFmtId="49" fontId="3" fillId="5" borderId="0" xfId="0" applyNumberFormat="1" applyFont="1" applyFill="1" applyAlignment="1">
      <alignment horizontal="left"/>
    </xf>
    <xf numFmtId="49" fontId="3" fillId="0" borderId="0" xfId="0" applyNumberFormat="1" applyFont="1" applyAlignment="1">
      <alignment horizontal="center" vertical="center"/>
    </xf>
    <xf numFmtId="0" fontId="19" fillId="0" borderId="0" xfId="0" applyFont="1"/>
    <xf numFmtId="0" fontId="2" fillId="10" borderId="1" xfId="0" applyFont="1" applyFill="1" applyBorder="1" applyAlignment="1">
      <alignment horizontal="center" vertical="center"/>
    </xf>
    <xf numFmtId="0" fontId="20" fillId="0" borderId="0" xfId="0" applyFont="1"/>
    <xf numFmtId="49" fontId="3" fillId="8" borderId="0" xfId="0" applyNumberFormat="1" applyFont="1" applyFill="1" applyAlignment="1">
      <alignment horizontal="center"/>
    </xf>
    <xf numFmtId="0" fontId="21" fillId="0" borderId="0" xfId="0" applyFont="1"/>
    <xf numFmtId="0" fontId="9" fillId="8" borderId="0" xfId="0" applyFont="1" applyFill="1"/>
    <xf numFmtId="49" fontId="3" fillId="8" borderId="0" xfId="0" applyNumberFormat="1" applyFont="1" applyFill="1" applyAlignment="1">
      <alignment horizontal="right"/>
    </xf>
    <xf numFmtId="16" fontId="3" fillId="0" borderId="0" xfId="0" applyNumberFormat="1" applyFont="1" applyAlignment="1">
      <alignment horizontal="center"/>
    </xf>
    <xf numFmtId="16" fontId="9" fillId="0" borderId="0" xfId="0" applyNumberFormat="1" applyFont="1" applyAlignment="1">
      <alignment horizontal="center"/>
    </xf>
    <xf numFmtId="16" fontId="3" fillId="5" borderId="0" xfId="0" applyNumberFormat="1" applyFont="1" applyFill="1" applyAlignment="1">
      <alignment horizontal="center"/>
    </xf>
    <xf numFmtId="0" fontId="3" fillId="0" borderId="0" xfId="0" applyFont="1" applyAlignment="1">
      <alignment vertical="center" wrapText="1"/>
    </xf>
    <xf numFmtId="0" fontId="3" fillId="8" borderId="0" xfId="0" applyFont="1" applyFill="1" applyAlignment="1">
      <alignment horizontal="center" vertical="center" wrapText="1"/>
    </xf>
    <xf numFmtId="0" fontId="3" fillId="0" borderId="0" xfId="0" applyFont="1" applyAlignment="1">
      <alignment horizontal="center" vertical="center" wrapText="1"/>
    </xf>
    <xf numFmtId="16" fontId="3" fillId="6" borderId="0" xfId="0" applyNumberFormat="1" applyFont="1" applyFill="1" applyAlignment="1">
      <alignment horizontal="center"/>
    </xf>
    <xf numFmtId="16" fontId="3" fillId="0" borderId="0" xfId="0" applyNumberFormat="1" applyFont="1" applyAlignment="1">
      <alignment horizontal="center" vertical="top"/>
    </xf>
    <xf numFmtId="16" fontId="3" fillId="0" borderId="0" xfId="0" applyNumberFormat="1" applyFont="1" applyAlignment="1">
      <alignment horizontal="center" vertical="center"/>
    </xf>
    <xf numFmtId="16" fontId="3" fillId="0" borderId="0" xfId="0" applyNumberFormat="1" applyFont="1" applyAlignment="1">
      <alignment horizontal="center" vertical="center" wrapText="1"/>
    </xf>
    <xf numFmtId="0" fontId="3" fillId="0" borderId="0" xfId="0" applyFont="1" applyAlignment="1">
      <alignment vertical="top" wrapText="1"/>
    </xf>
    <xf numFmtId="49" fontId="3" fillId="0" borderId="0" xfId="0" quotePrefix="1" applyNumberFormat="1" applyFont="1" applyAlignment="1">
      <alignment horizontal="center" vertical="center" wrapText="1"/>
    </xf>
    <xf numFmtId="49" fontId="3" fillId="8" borderId="0" xfId="0" applyNumberFormat="1" applyFont="1" applyFill="1" applyAlignment="1">
      <alignment horizontal="left" wrapText="1"/>
    </xf>
    <xf numFmtId="0" fontId="3" fillId="8" borderId="0" xfId="0" applyFont="1" applyFill="1" applyAlignment="1">
      <alignment horizontal="left" wrapText="1"/>
    </xf>
    <xf numFmtId="0" fontId="22" fillId="0" borderId="0" xfId="0" applyFont="1" applyAlignment="1">
      <alignment wrapText="1"/>
    </xf>
    <xf numFmtId="0" fontId="8" fillId="0" borderId="4" xfId="0" applyFont="1" applyBorder="1"/>
    <xf numFmtId="0" fontId="3" fillId="0" borderId="4" xfId="0" applyFont="1" applyBorder="1"/>
    <xf numFmtId="0" fontId="3" fillId="5" borderId="4" xfId="0" applyFont="1" applyFill="1" applyBorder="1"/>
    <xf numFmtId="0" fontId="3" fillId="0" borderId="4" xfId="0" applyFont="1" applyBorder="1" applyAlignment="1">
      <alignment vertical="top"/>
    </xf>
    <xf numFmtId="0" fontId="8" fillId="0" borderId="0" xfId="0" applyFont="1" applyAlignment="1">
      <alignment wrapText="1"/>
    </xf>
    <xf numFmtId="49" fontId="22" fillId="0" borderId="0" xfId="0" applyNumberFormat="1" applyFont="1"/>
    <xf numFmtId="0" fontId="22" fillId="11" borderId="0" xfId="0" applyFont="1" applyFill="1"/>
    <xf numFmtId="0" fontId="22" fillId="11" borderId="0" xfId="0" applyFont="1" applyFill="1" applyAlignment="1">
      <alignment wrapText="1"/>
    </xf>
    <xf numFmtId="0" fontId="3" fillId="8" borderId="0" xfId="0" applyFont="1" applyFill="1" applyAlignment="1">
      <alignment horizontal="center" wrapText="1"/>
    </xf>
    <xf numFmtId="0" fontId="3" fillId="0" borderId="0" xfId="0" applyFont="1" applyAlignment="1">
      <alignment horizontal="center" wrapText="1"/>
    </xf>
    <xf numFmtId="16" fontId="3" fillId="0" borderId="0" xfId="0" applyNumberFormat="1" applyFont="1" applyAlignment="1">
      <alignment horizontal="center" wrapText="1"/>
    </xf>
    <xf numFmtId="49" fontId="3" fillId="0" borderId="0" xfId="0" applyNumberFormat="1" applyFont="1" applyAlignment="1">
      <alignment horizontal="left" wrapText="1"/>
    </xf>
    <xf numFmtId="0" fontId="3" fillId="0" borderId="0" xfId="0" applyFont="1" applyAlignment="1">
      <alignment horizontal="left" wrapText="1"/>
    </xf>
  </cellXfs>
  <cellStyles count="2">
    <cellStyle name="Normal" xfId="0" builtinId="0"/>
    <cellStyle name="Porcentaje" xfId="1" builtinId="5"/>
  </cellStyles>
  <dxfs count="1">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746"/>
  <sheetViews>
    <sheetView showGridLines="0" tabSelected="1" topLeftCell="L1" workbookViewId="0">
      <pane ySplit="1" topLeftCell="A382" activePane="bottomLeft" state="frozen"/>
      <selection pane="bottomLeft" activeCell="A746" sqref="A746"/>
    </sheetView>
  </sheetViews>
  <sheetFormatPr defaultColWidth="9.140625" defaultRowHeight="11.25"/>
  <cols>
    <col min="1" max="1" width="5.140625" style="14" customWidth="1"/>
    <col min="2" max="2" width="7" style="14" customWidth="1"/>
    <col min="3" max="3" width="6.5703125" style="17" customWidth="1"/>
    <col min="4" max="4" width="9.7109375" style="14" customWidth="1"/>
    <col min="5" max="5" width="16.85546875" style="14" customWidth="1"/>
    <col min="6" max="6" width="8" style="14" customWidth="1"/>
    <col min="7" max="8" width="23" style="14" customWidth="1"/>
    <col min="9" max="9" width="8.5703125" style="17" customWidth="1"/>
    <col min="10" max="10" width="7.28515625" style="17" customWidth="1"/>
    <col min="11" max="11" width="46.7109375" style="14" customWidth="1"/>
    <col min="12" max="12" width="9.140625" style="17"/>
    <col min="13" max="13" width="77.85546875" style="14" customWidth="1"/>
    <col min="14" max="14" width="37.140625" style="7" customWidth="1"/>
    <col min="15" max="15" width="11.5703125" style="24" customWidth="1"/>
    <col min="16" max="16" width="10.7109375" style="24" customWidth="1"/>
    <col min="17" max="17" width="13.85546875" style="25" customWidth="1"/>
    <col min="18" max="18" width="11.7109375" style="14" customWidth="1"/>
    <col min="19" max="19" width="9.42578125" style="14" customWidth="1"/>
    <col min="20" max="20" width="56.85546875" style="14" customWidth="1"/>
    <col min="21" max="21" width="27.42578125" style="14" customWidth="1"/>
    <col min="22" max="22" width="9.140625" style="14"/>
    <col min="23" max="23" width="11" style="14" customWidth="1"/>
    <col min="24" max="16384" width="9.140625" style="14"/>
  </cols>
  <sheetData>
    <row r="1" spans="1:23">
      <c r="A1" s="8" t="s">
        <v>0</v>
      </c>
      <c r="B1" s="8" t="s">
        <v>1</v>
      </c>
      <c r="C1" s="8" t="s">
        <v>2</v>
      </c>
      <c r="D1" s="9" t="s">
        <v>3</v>
      </c>
      <c r="E1" s="8" t="s">
        <v>4</v>
      </c>
      <c r="F1" s="9" t="s">
        <v>5</v>
      </c>
      <c r="G1" s="8" t="s">
        <v>6</v>
      </c>
      <c r="H1" s="8" t="s">
        <v>7</v>
      </c>
      <c r="I1" s="8" t="s">
        <v>8</v>
      </c>
      <c r="J1" s="8" t="s">
        <v>9</v>
      </c>
      <c r="K1" s="10" t="s">
        <v>10</v>
      </c>
      <c r="L1" s="8" t="s">
        <v>11</v>
      </c>
      <c r="M1" s="8" t="s">
        <v>12</v>
      </c>
      <c r="N1" s="6" t="s">
        <v>13</v>
      </c>
      <c r="O1" s="11" t="s">
        <v>14</v>
      </c>
      <c r="P1" s="11" t="s">
        <v>15</v>
      </c>
      <c r="Q1" s="92" t="s">
        <v>16</v>
      </c>
      <c r="R1" s="12" t="s">
        <v>17</v>
      </c>
      <c r="S1" s="12" t="s">
        <v>18</v>
      </c>
      <c r="T1" s="13" t="s">
        <v>19</v>
      </c>
      <c r="U1" s="13" t="s">
        <v>20</v>
      </c>
      <c r="V1" s="141" t="s">
        <v>21</v>
      </c>
      <c r="W1" s="14" t="s">
        <v>22</v>
      </c>
    </row>
    <row r="2" spans="1:23" hidden="1">
      <c r="A2" s="17">
        <v>1</v>
      </c>
      <c r="B2" s="17" t="s">
        <v>23</v>
      </c>
      <c r="C2" s="147">
        <v>46024</v>
      </c>
      <c r="D2" s="15" t="s">
        <v>24</v>
      </c>
      <c r="E2" s="16" t="s">
        <v>25</v>
      </c>
      <c r="F2" s="14" t="s">
        <v>26</v>
      </c>
      <c r="G2" s="14" t="s">
        <v>27</v>
      </c>
      <c r="H2" s="14" t="s">
        <v>28</v>
      </c>
      <c r="I2" s="17" t="s">
        <v>29</v>
      </c>
      <c r="J2" s="17">
        <v>5</v>
      </c>
      <c r="K2" s="14" t="s">
        <v>30</v>
      </c>
      <c r="L2" s="17" t="s">
        <v>31</v>
      </c>
      <c r="M2" s="14" t="s">
        <v>32</v>
      </c>
      <c r="N2" s="14"/>
      <c r="O2" s="7"/>
      <c r="P2" s="14"/>
      <c r="Q2" s="17"/>
      <c r="R2" s="14" t="s">
        <v>33</v>
      </c>
    </row>
    <row r="3" spans="1:23" hidden="1">
      <c r="A3" s="17">
        <v>2</v>
      </c>
      <c r="B3" s="17" t="s">
        <v>23</v>
      </c>
      <c r="C3" s="147">
        <v>46024</v>
      </c>
      <c r="D3" s="15" t="s">
        <v>24</v>
      </c>
      <c r="E3" s="14" t="s">
        <v>25</v>
      </c>
      <c r="F3" s="14" t="s">
        <v>26</v>
      </c>
      <c r="G3" s="14" t="s">
        <v>27</v>
      </c>
      <c r="H3" s="14" t="s">
        <v>28</v>
      </c>
      <c r="I3" s="17" t="s">
        <v>29</v>
      </c>
      <c r="J3" s="17">
        <v>1</v>
      </c>
      <c r="K3" s="14" t="s">
        <v>34</v>
      </c>
      <c r="L3" s="17" t="s">
        <v>31</v>
      </c>
      <c r="M3" s="14" t="s">
        <v>35</v>
      </c>
      <c r="N3" s="14"/>
      <c r="O3" s="7"/>
      <c r="P3" s="14"/>
      <c r="Q3" s="17"/>
      <c r="R3" s="14" t="s">
        <v>33</v>
      </c>
    </row>
    <row r="4" spans="1:23" s="18" customFormat="1" hidden="1">
      <c r="A4" s="20">
        <v>3</v>
      </c>
      <c r="B4" s="20" t="s">
        <v>23</v>
      </c>
      <c r="C4" s="153">
        <v>46024</v>
      </c>
      <c r="D4" s="19" t="s">
        <v>24</v>
      </c>
      <c r="E4" s="18" t="s">
        <v>25</v>
      </c>
      <c r="F4" s="18" t="s">
        <v>36</v>
      </c>
      <c r="G4" s="18" t="s">
        <v>27</v>
      </c>
      <c r="H4" s="18" t="s">
        <v>28</v>
      </c>
      <c r="I4" s="20" t="s">
        <v>37</v>
      </c>
      <c r="J4" s="20">
        <v>1</v>
      </c>
      <c r="K4" s="18" t="s">
        <v>38</v>
      </c>
      <c r="L4" s="20" t="s">
        <v>31</v>
      </c>
      <c r="M4" s="18" t="s">
        <v>39</v>
      </c>
      <c r="N4" s="21" t="s">
        <v>40</v>
      </c>
      <c r="O4" s="22" t="s">
        <v>41</v>
      </c>
      <c r="P4" s="23" t="s">
        <v>42</v>
      </c>
      <c r="Q4" s="23" t="s">
        <v>43</v>
      </c>
      <c r="T4" s="18" t="s">
        <v>44</v>
      </c>
    </row>
    <row r="5" spans="1:23" hidden="1">
      <c r="A5" s="17">
        <v>4</v>
      </c>
      <c r="B5" s="17" t="s">
        <v>23</v>
      </c>
      <c r="C5" s="147">
        <v>46025</v>
      </c>
      <c r="D5" s="15" t="s">
        <v>24</v>
      </c>
      <c r="E5" s="14" t="s">
        <v>45</v>
      </c>
      <c r="F5" s="14" t="s">
        <v>26</v>
      </c>
      <c r="G5" s="14" t="s">
        <v>46</v>
      </c>
      <c r="H5" s="14" t="s">
        <v>47</v>
      </c>
      <c r="I5" s="17" t="s">
        <v>29</v>
      </c>
      <c r="J5" s="17">
        <v>1</v>
      </c>
      <c r="K5" s="14" t="s">
        <v>38</v>
      </c>
      <c r="L5" s="17" t="s">
        <v>31</v>
      </c>
      <c r="M5" s="14" t="s">
        <v>48</v>
      </c>
      <c r="N5" s="7" t="s">
        <v>49</v>
      </c>
      <c r="O5" s="24" t="s">
        <v>50</v>
      </c>
      <c r="P5" s="25" t="s">
        <v>51</v>
      </c>
      <c r="Q5" s="25" t="s">
        <v>43</v>
      </c>
      <c r="R5" s="14" t="s">
        <v>33</v>
      </c>
      <c r="T5" s="14" t="s">
        <v>52</v>
      </c>
    </row>
    <row r="6" spans="1:23" hidden="1">
      <c r="A6" s="17">
        <v>5</v>
      </c>
      <c r="B6" s="17" t="s">
        <v>23</v>
      </c>
      <c r="C6" s="147">
        <v>46025</v>
      </c>
      <c r="D6" s="15" t="s">
        <v>24</v>
      </c>
      <c r="E6" s="14" t="s">
        <v>53</v>
      </c>
      <c r="F6" s="14" t="s">
        <v>26</v>
      </c>
      <c r="G6" s="14" t="s">
        <v>54</v>
      </c>
      <c r="H6" s="14" t="s">
        <v>55</v>
      </c>
      <c r="I6" s="17" t="s">
        <v>29</v>
      </c>
      <c r="J6" s="17">
        <v>5</v>
      </c>
      <c r="K6" s="14" t="s">
        <v>30</v>
      </c>
      <c r="L6" s="17" t="s">
        <v>31</v>
      </c>
      <c r="M6" s="14" t="s">
        <v>56</v>
      </c>
      <c r="N6" s="14"/>
      <c r="O6" s="7"/>
      <c r="P6" s="14"/>
      <c r="Q6" s="17"/>
      <c r="R6" s="14" t="s">
        <v>33</v>
      </c>
    </row>
    <row r="7" spans="1:23" hidden="1">
      <c r="A7" s="37">
        <v>6</v>
      </c>
      <c r="B7" s="17" t="s">
        <v>23</v>
      </c>
      <c r="C7" s="147">
        <v>46025</v>
      </c>
      <c r="D7" s="15" t="s">
        <v>24</v>
      </c>
      <c r="E7" s="14" t="s">
        <v>53</v>
      </c>
      <c r="F7" s="14" t="s">
        <v>26</v>
      </c>
      <c r="G7" s="14" t="s">
        <v>54</v>
      </c>
      <c r="H7" s="14" t="s">
        <v>55</v>
      </c>
      <c r="I7" s="17" t="s">
        <v>29</v>
      </c>
      <c r="J7" s="17">
        <v>4</v>
      </c>
      <c r="K7" s="14" t="s">
        <v>57</v>
      </c>
      <c r="L7" s="17" t="s">
        <v>31</v>
      </c>
      <c r="M7" s="14" t="s">
        <v>58</v>
      </c>
      <c r="N7" s="14"/>
      <c r="O7" s="7"/>
      <c r="P7" s="14"/>
      <c r="Q7" s="17"/>
      <c r="R7" s="14" t="s">
        <v>33</v>
      </c>
    </row>
    <row r="8" spans="1:23" hidden="1">
      <c r="A8" s="37">
        <v>7</v>
      </c>
      <c r="B8" s="17" t="s">
        <v>23</v>
      </c>
      <c r="C8" s="147">
        <v>46026</v>
      </c>
      <c r="D8" s="15" t="s">
        <v>24</v>
      </c>
      <c r="E8" s="14" t="s">
        <v>59</v>
      </c>
      <c r="F8" s="14" t="s">
        <v>26</v>
      </c>
      <c r="G8" s="14" t="s">
        <v>60</v>
      </c>
      <c r="H8" s="14" t="s">
        <v>61</v>
      </c>
      <c r="I8" s="17" t="s">
        <v>62</v>
      </c>
      <c r="J8" s="17" t="s">
        <v>31</v>
      </c>
      <c r="K8" s="14" t="s">
        <v>63</v>
      </c>
      <c r="L8" s="17" t="s">
        <v>31</v>
      </c>
      <c r="M8" s="14" t="s">
        <v>64</v>
      </c>
      <c r="N8" s="14"/>
      <c r="O8" s="7"/>
      <c r="P8" s="14"/>
      <c r="Q8" s="17"/>
      <c r="R8" s="14" t="s">
        <v>33</v>
      </c>
    </row>
    <row r="9" spans="1:23" s="26" customFormat="1" hidden="1">
      <c r="A9" s="37">
        <v>8</v>
      </c>
      <c r="B9" s="28" t="s">
        <v>23</v>
      </c>
      <c r="C9" s="149">
        <v>46026</v>
      </c>
      <c r="D9" s="27" t="s">
        <v>24</v>
      </c>
      <c r="E9" s="26" t="s">
        <v>65</v>
      </c>
      <c r="F9" s="14" t="s">
        <v>26</v>
      </c>
      <c r="G9" s="26" t="s">
        <v>66</v>
      </c>
      <c r="H9" s="26" t="s">
        <v>67</v>
      </c>
      <c r="I9" s="28" t="s">
        <v>37</v>
      </c>
      <c r="J9" s="28">
        <v>1</v>
      </c>
      <c r="K9" s="26" t="s">
        <v>38</v>
      </c>
      <c r="L9" s="28" t="s">
        <v>31</v>
      </c>
      <c r="M9" s="26" t="s">
        <v>68</v>
      </c>
      <c r="N9" s="29" t="s">
        <v>69</v>
      </c>
      <c r="O9" s="29">
        <v>1308634896</v>
      </c>
      <c r="P9" s="30" t="s">
        <v>70</v>
      </c>
      <c r="Q9" s="25" t="s">
        <v>43</v>
      </c>
      <c r="R9" s="26" t="s">
        <v>33</v>
      </c>
      <c r="T9" s="26" t="s">
        <v>71</v>
      </c>
    </row>
    <row r="10" spans="1:23" hidden="1">
      <c r="A10" s="37">
        <v>9</v>
      </c>
      <c r="B10" s="17" t="s">
        <v>23</v>
      </c>
      <c r="C10" s="147">
        <v>46026</v>
      </c>
      <c r="D10" s="15" t="s">
        <v>24</v>
      </c>
      <c r="E10" s="14" t="s">
        <v>59</v>
      </c>
      <c r="F10" s="14" t="s">
        <v>26</v>
      </c>
      <c r="G10" s="14" t="s">
        <v>60</v>
      </c>
      <c r="H10" s="14" t="s">
        <v>72</v>
      </c>
      <c r="I10" s="17" t="s">
        <v>62</v>
      </c>
      <c r="J10" s="17" t="s">
        <v>31</v>
      </c>
      <c r="K10" s="14" t="s">
        <v>63</v>
      </c>
      <c r="L10" s="17" t="s">
        <v>31</v>
      </c>
      <c r="M10" s="14" t="s">
        <v>73</v>
      </c>
      <c r="N10" s="14"/>
      <c r="O10" s="7"/>
      <c r="P10" s="14"/>
      <c r="Q10" s="17"/>
      <c r="R10" s="14" t="s">
        <v>33</v>
      </c>
    </row>
    <row r="11" spans="1:23" hidden="1">
      <c r="A11" s="37">
        <v>10</v>
      </c>
      <c r="B11" s="17" t="s">
        <v>23</v>
      </c>
      <c r="C11" s="147">
        <v>46027</v>
      </c>
      <c r="D11" s="15" t="s">
        <v>24</v>
      </c>
      <c r="E11" s="14" t="s">
        <v>74</v>
      </c>
      <c r="F11" s="14" t="s">
        <v>26</v>
      </c>
      <c r="G11" s="14" t="s">
        <v>75</v>
      </c>
      <c r="H11" s="14" t="s">
        <v>76</v>
      </c>
      <c r="I11" s="17" t="s">
        <v>37</v>
      </c>
      <c r="J11" s="17" t="s">
        <v>31</v>
      </c>
      <c r="K11" s="14" t="s">
        <v>38</v>
      </c>
      <c r="L11" s="17" t="s">
        <v>31</v>
      </c>
      <c r="M11" s="14" t="s">
        <v>77</v>
      </c>
      <c r="N11" s="7" t="s">
        <v>78</v>
      </c>
      <c r="O11" s="24" t="s">
        <v>79</v>
      </c>
      <c r="P11" s="25" t="s">
        <v>80</v>
      </c>
      <c r="Q11" s="25" t="s">
        <v>43</v>
      </c>
      <c r="R11" s="14" t="s">
        <v>33</v>
      </c>
      <c r="T11" s="14" t="s">
        <v>81</v>
      </c>
    </row>
    <row r="12" spans="1:23" hidden="1">
      <c r="A12" s="37">
        <v>11</v>
      </c>
      <c r="B12" s="17" t="s">
        <v>23</v>
      </c>
      <c r="C12" s="147">
        <v>46027</v>
      </c>
      <c r="D12" s="15" t="s">
        <v>24</v>
      </c>
      <c r="E12" s="14" t="s">
        <v>82</v>
      </c>
      <c r="F12" s="14" t="s">
        <v>26</v>
      </c>
      <c r="G12" s="14" t="s">
        <v>83</v>
      </c>
      <c r="H12" s="14" t="s">
        <v>84</v>
      </c>
      <c r="I12" s="17" t="s">
        <v>62</v>
      </c>
      <c r="J12" s="17">
        <v>6</v>
      </c>
      <c r="K12" s="14" t="s">
        <v>38</v>
      </c>
      <c r="L12" s="17" t="s">
        <v>31</v>
      </c>
      <c r="M12" s="14" t="s">
        <v>85</v>
      </c>
      <c r="N12" s="7" t="s">
        <v>86</v>
      </c>
      <c r="O12" s="24" t="s">
        <v>87</v>
      </c>
      <c r="P12" s="25" t="s">
        <v>88</v>
      </c>
      <c r="Q12" s="25" t="s">
        <v>43</v>
      </c>
      <c r="R12" s="31" t="s">
        <v>43</v>
      </c>
      <c r="S12" s="31"/>
      <c r="T12" s="14" t="s">
        <v>89</v>
      </c>
    </row>
    <row r="13" spans="1:23" hidden="1">
      <c r="A13" s="37">
        <v>12</v>
      </c>
      <c r="B13" s="17" t="s">
        <v>23</v>
      </c>
      <c r="C13" s="147">
        <v>46027</v>
      </c>
      <c r="D13" s="15" t="s">
        <v>24</v>
      </c>
      <c r="E13" s="14" t="s">
        <v>82</v>
      </c>
      <c r="F13" s="14" t="s">
        <v>26</v>
      </c>
      <c r="G13" s="14" t="s">
        <v>83</v>
      </c>
      <c r="H13" s="14" t="s">
        <v>84</v>
      </c>
      <c r="I13" s="17" t="s">
        <v>62</v>
      </c>
      <c r="J13" s="17">
        <v>5</v>
      </c>
      <c r="K13" s="14" t="s">
        <v>90</v>
      </c>
      <c r="L13" s="17" t="s">
        <v>31</v>
      </c>
      <c r="M13" s="14" t="s">
        <v>91</v>
      </c>
      <c r="N13" s="14"/>
      <c r="O13" s="7"/>
      <c r="P13" s="14"/>
      <c r="Q13" s="17"/>
      <c r="R13" s="14" t="s">
        <v>33</v>
      </c>
    </row>
    <row r="14" spans="1:23" hidden="1">
      <c r="A14" s="37">
        <v>13</v>
      </c>
      <c r="B14" s="17" t="s">
        <v>23</v>
      </c>
      <c r="C14" s="147">
        <v>46028</v>
      </c>
      <c r="D14" s="15" t="s">
        <v>24</v>
      </c>
      <c r="E14" s="14" t="s">
        <v>92</v>
      </c>
      <c r="F14" s="14" t="s">
        <v>26</v>
      </c>
      <c r="G14" s="14" t="s">
        <v>93</v>
      </c>
      <c r="H14" s="14" t="s">
        <v>94</v>
      </c>
      <c r="I14" s="17" t="s">
        <v>62</v>
      </c>
      <c r="J14" s="17" t="s">
        <v>31</v>
      </c>
      <c r="K14" s="14" t="s">
        <v>95</v>
      </c>
      <c r="L14" s="17" t="s">
        <v>31</v>
      </c>
      <c r="M14" s="14" t="s">
        <v>31</v>
      </c>
      <c r="N14" s="14"/>
      <c r="O14" s="7"/>
      <c r="P14" s="14"/>
      <c r="Q14" s="17"/>
      <c r="R14" s="14" t="s">
        <v>33</v>
      </c>
    </row>
    <row r="15" spans="1:23">
      <c r="A15" s="37">
        <v>14</v>
      </c>
      <c r="B15" s="17" t="s">
        <v>23</v>
      </c>
      <c r="C15" s="147">
        <v>46028</v>
      </c>
      <c r="D15" s="15" t="s">
        <v>24</v>
      </c>
      <c r="E15" s="14" t="s">
        <v>96</v>
      </c>
      <c r="F15" s="14" t="s">
        <v>26</v>
      </c>
      <c r="G15" s="14" t="s">
        <v>97</v>
      </c>
      <c r="H15" s="14" t="s">
        <v>98</v>
      </c>
      <c r="I15" s="17" t="s">
        <v>29</v>
      </c>
      <c r="J15" s="17">
        <v>5</v>
      </c>
      <c r="K15" s="14" t="s">
        <v>30</v>
      </c>
      <c r="L15" s="17" t="s">
        <v>31</v>
      </c>
      <c r="M15" s="14" t="s">
        <v>99</v>
      </c>
      <c r="N15" s="14"/>
      <c r="O15" s="7"/>
      <c r="P15" s="14"/>
      <c r="Q15" s="17"/>
      <c r="R15" s="14" t="s">
        <v>33</v>
      </c>
    </row>
    <row r="16" spans="1:23">
      <c r="A16" s="37">
        <v>15</v>
      </c>
      <c r="B16" s="17" t="s">
        <v>23</v>
      </c>
      <c r="C16" s="147">
        <v>46028</v>
      </c>
      <c r="D16" s="15" t="s">
        <v>24</v>
      </c>
      <c r="E16" s="14" t="s">
        <v>96</v>
      </c>
      <c r="F16" s="14" t="s">
        <v>26</v>
      </c>
      <c r="G16" s="14" t="s">
        <v>97</v>
      </c>
      <c r="H16" s="14" t="s">
        <v>98</v>
      </c>
      <c r="I16" s="17" t="s">
        <v>29</v>
      </c>
      <c r="J16" s="17">
        <v>5</v>
      </c>
      <c r="K16" s="14" t="s">
        <v>57</v>
      </c>
      <c r="L16" s="17" t="s">
        <v>31</v>
      </c>
      <c r="M16" s="14" t="s">
        <v>100</v>
      </c>
      <c r="N16" s="14"/>
      <c r="O16" s="7"/>
      <c r="P16" s="14"/>
      <c r="Q16" s="17"/>
      <c r="R16" s="14" t="s">
        <v>33</v>
      </c>
    </row>
    <row r="17" spans="1:20" hidden="1">
      <c r="A17" s="37">
        <v>16</v>
      </c>
      <c r="B17" s="17" t="s">
        <v>23</v>
      </c>
      <c r="C17" s="147">
        <v>46028</v>
      </c>
      <c r="D17" s="15" t="s">
        <v>24</v>
      </c>
      <c r="E17" s="14" t="s">
        <v>101</v>
      </c>
      <c r="F17" s="14" t="s">
        <v>26</v>
      </c>
      <c r="G17" s="14" t="s">
        <v>102</v>
      </c>
      <c r="H17" s="14" t="s">
        <v>103</v>
      </c>
      <c r="I17" s="17" t="s">
        <v>62</v>
      </c>
      <c r="J17" s="17">
        <v>5</v>
      </c>
      <c r="K17" s="14" t="s">
        <v>38</v>
      </c>
      <c r="L17" s="17" t="s">
        <v>31</v>
      </c>
      <c r="M17" s="14" t="s">
        <v>104</v>
      </c>
      <c r="N17" s="7" t="s">
        <v>105</v>
      </c>
      <c r="O17" s="24" t="s">
        <v>106</v>
      </c>
      <c r="P17" s="25" t="s">
        <v>107</v>
      </c>
      <c r="Q17" s="25" t="s">
        <v>43</v>
      </c>
      <c r="R17" s="14" t="s">
        <v>33</v>
      </c>
      <c r="T17" s="14" t="s">
        <v>108</v>
      </c>
    </row>
    <row r="18" spans="1:20" hidden="1">
      <c r="A18" s="37">
        <v>17</v>
      </c>
      <c r="B18" s="17" t="s">
        <v>23</v>
      </c>
      <c r="C18" s="147">
        <v>46028</v>
      </c>
      <c r="D18" s="15" t="s">
        <v>24</v>
      </c>
      <c r="E18" s="14" t="s">
        <v>109</v>
      </c>
      <c r="F18" s="14" t="s">
        <v>26</v>
      </c>
      <c r="G18" s="14" t="s">
        <v>110</v>
      </c>
      <c r="H18" s="14" t="s">
        <v>111</v>
      </c>
      <c r="I18" s="17" t="s">
        <v>29</v>
      </c>
      <c r="J18" s="17">
        <v>2</v>
      </c>
      <c r="K18" s="14" t="s">
        <v>38</v>
      </c>
      <c r="L18" s="17" t="s">
        <v>31</v>
      </c>
      <c r="M18" s="14" t="s">
        <v>112</v>
      </c>
      <c r="N18" s="7" t="s">
        <v>113</v>
      </c>
      <c r="O18" s="24" t="s">
        <v>114</v>
      </c>
      <c r="P18" s="25" t="s">
        <v>115</v>
      </c>
      <c r="Q18" s="25" t="s">
        <v>43</v>
      </c>
      <c r="R18" s="14" t="s">
        <v>33</v>
      </c>
    </row>
    <row r="19" spans="1:20" hidden="1">
      <c r="A19" s="37">
        <v>18</v>
      </c>
      <c r="B19" s="17" t="s">
        <v>23</v>
      </c>
      <c r="C19" s="147">
        <v>46028</v>
      </c>
      <c r="D19" s="15" t="s">
        <v>24</v>
      </c>
      <c r="E19" s="14" t="s">
        <v>109</v>
      </c>
      <c r="F19" s="14" t="s">
        <v>26</v>
      </c>
      <c r="G19" s="14" t="s">
        <v>110</v>
      </c>
      <c r="H19" s="14" t="s">
        <v>111</v>
      </c>
      <c r="I19" s="17" t="s">
        <v>29</v>
      </c>
      <c r="J19" s="17">
        <v>1</v>
      </c>
      <c r="K19" s="14" t="s">
        <v>30</v>
      </c>
      <c r="L19" s="17" t="s">
        <v>31</v>
      </c>
      <c r="M19" s="14" t="s">
        <v>116</v>
      </c>
      <c r="N19" s="14"/>
      <c r="O19" s="7"/>
      <c r="P19" s="14"/>
      <c r="Q19" s="17"/>
      <c r="R19" s="14" t="s">
        <v>33</v>
      </c>
    </row>
    <row r="20" spans="1:20" hidden="1">
      <c r="A20" s="37">
        <v>19</v>
      </c>
      <c r="B20" s="17" t="s">
        <v>23</v>
      </c>
      <c r="C20" s="147">
        <v>46028</v>
      </c>
      <c r="D20" s="15" t="s">
        <v>24</v>
      </c>
      <c r="E20" s="14" t="s">
        <v>117</v>
      </c>
      <c r="F20" s="14" t="s">
        <v>26</v>
      </c>
      <c r="G20" s="14" t="s">
        <v>118</v>
      </c>
      <c r="H20" s="14" t="s">
        <v>119</v>
      </c>
      <c r="I20" s="17" t="s">
        <v>29</v>
      </c>
      <c r="J20" s="17">
        <v>5</v>
      </c>
      <c r="K20" s="14" t="s">
        <v>34</v>
      </c>
      <c r="L20" s="17" t="s">
        <v>31</v>
      </c>
      <c r="M20" s="14" t="s">
        <v>120</v>
      </c>
      <c r="N20" s="14"/>
      <c r="O20" s="7"/>
      <c r="P20" s="14"/>
      <c r="Q20" s="17"/>
      <c r="R20" s="14" t="s">
        <v>33</v>
      </c>
    </row>
    <row r="21" spans="1:20" hidden="1">
      <c r="A21" s="37">
        <v>20</v>
      </c>
      <c r="B21" s="17" t="s">
        <v>23</v>
      </c>
      <c r="C21" s="147">
        <v>46028</v>
      </c>
      <c r="D21" s="15" t="s">
        <v>24</v>
      </c>
      <c r="E21" s="14" t="s">
        <v>121</v>
      </c>
      <c r="F21" s="14" t="s">
        <v>26</v>
      </c>
      <c r="G21" s="14" t="s">
        <v>122</v>
      </c>
      <c r="H21" s="14" t="s">
        <v>123</v>
      </c>
      <c r="I21" s="17" t="s">
        <v>29</v>
      </c>
      <c r="J21" s="17">
        <v>5</v>
      </c>
      <c r="K21" s="14" t="s">
        <v>38</v>
      </c>
      <c r="L21" s="17" t="s">
        <v>31</v>
      </c>
      <c r="M21" s="14" t="s">
        <v>124</v>
      </c>
      <c r="N21" s="7" t="s">
        <v>125</v>
      </c>
      <c r="O21" s="24" t="s">
        <v>126</v>
      </c>
      <c r="P21" s="25" t="s">
        <v>127</v>
      </c>
      <c r="Q21" s="25" t="s">
        <v>43</v>
      </c>
      <c r="R21" s="14" t="s">
        <v>33</v>
      </c>
    </row>
    <row r="22" spans="1:20" hidden="1">
      <c r="A22" s="37">
        <v>21</v>
      </c>
      <c r="B22" s="17" t="s">
        <v>23</v>
      </c>
      <c r="C22" s="147">
        <v>46028</v>
      </c>
      <c r="D22" s="15" t="s">
        <v>24</v>
      </c>
      <c r="E22" s="14" t="s">
        <v>128</v>
      </c>
      <c r="F22" s="14" t="s">
        <v>26</v>
      </c>
      <c r="G22" s="14" t="s">
        <v>129</v>
      </c>
      <c r="H22" s="14" t="s">
        <v>130</v>
      </c>
      <c r="I22" s="17" t="s">
        <v>62</v>
      </c>
      <c r="J22" s="17" t="s">
        <v>31</v>
      </c>
      <c r="K22" s="14" t="s">
        <v>63</v>
      </c>
      <c r="L22" s="17" t="s">
        <v>31</v>
      </c>
      <c r="M22" s="14" t="s">
        <v>131</v>
      </c>
      <c r="N22" s="14"/>
      <c r="O22" s="7"/>
      <c r="P22" s="14"/>
      <c r="Q22" s="17"/>
      <c r="R22" s="14" t="s">
        <v>33</v>
      </c>
    </row>
    <row r="23" spans="1:20" hidden="1">
      <c r="A23" s="37">
        <v>22</v>
      </c>
      <c r="B23" s="17" t="s">
        <v>23</v>
      </c>
      <c r="C23" s="147">
        <v>46029</v>
      </c>
      <c r="D23" s="15" t="s">
        <v>24</v>
      </c>
      <c r="E23" s="14" t="s">
        <v>121</v>
      </c>
      <c r="F23" s="14" t="s">
        <v>26</v>
      </c>
      <c r="G23" s="14" t="s">
        <v>132</v>
      </c>
      <c r="H23" s="14" t="s">
        <v>133</v>
      </c>
      <c r="I23" s="17" t="s">
        <v>62</v>
      </c>
      <c r="J23" s="17">
        <v>2</v>
      </c>
      <c r="K23" s="14" t="s">
        <v>38</v>
      </c>
      <c r="L23" s="17" t="s">
        <v>31</v>
      </c>
      <c r="M23" s="14" t="s">
        <v>134</v>
      </c>
      <c r="N23" s="7" t="s">
        <v>135</v>
      </c>
      <c r="O23" s="24" t="s">
        <v>136</v>
      </c>
      <c r="P23" s="25" t="s">
        <v>137</v>
      </c>
      <c r="Q23" s="25" t="s">
        <v>43</v>
      </c>
      <c r="R23" s="14" t="s">
        <v>33</v>
      </c>
    </row>
    <row r="24" spans="1:20" hidden="1">
      <c r="A24" s="37">
        <v>23</v>
      </c>
      <c r="B24" s="17" t="s">
        <v>23</v>
      </c>
      <c r="C24" s="147">
        <v>46029</v>
      </c>
      <c r="D24" s="15" t="s">
        <v>24</v>
      </c>
      <c r="E24" s="14" t="s">
        <v>138</v>
      </c>
      <c r="F24" s="14" t="s">
        <v>26</v>
      </c>
      <c r="G24" s="14" t="s">
        <v>139</v>
      </c>
      <c r="H24" s="14" t="s">
        <v>140</v>
      </c>
      <c r="I24" s="17" t="s">
        <v>62</v>
      </c>
      <c r="J24" s="17">
        <v>5</v>
      </c>
      <c r="K24" s="14" t="s">
        <v>141</v>
      </c>
      <c r="L24" s="17" t="s">
        <v>31</v>
      </c>
      <c r="M24" s="14" t="s">
        <v>142</v>
      </c>
      <c r="N24" s="14"/>
      <c r="O24" s="7"/>
      <c r="P24" s="14"/>
      <c r="Q24" s="17"/>
      <c r="R24" s="14" t="s">
        <v>33</v>
      </c>
    </row>
    <row r="25" spans="1:20" hidden="1">
      <c r="A25" s="37">
        <v>24</v>
      </c>
      <c r="B25" s="17" t="s">
        <v>23</v>
      </c>
      <c r="C25" s="147">
        <v>46029</v>
      </c>
      <c r="D25" s="15" t="s">
        <v>24</v>
      </c>
      <c r="E25" s="14" t="s">
        <v>53</v>
      </c>
      <c r="F25" s="14" t="s">
        <v>26</v>
      </c>
      <c r="G25" s="14" t="s">
        <v>54</v>
      </c>
      <c r="H25" s="14" t="s">
        <v>55</v>
      </c>
      <c r="I25" s="17" t="s">
        <v>29</v>
      </c>
      <c r="J25" s="17">
        <v>6</v>
      </c>
      <c r="K25" s="14" t="s">
        <v>30</v>
      </c>
      <c r="L25" s="17" t="s">
        <v>31</v>
      </c>
      <c r="M25" s="14" t="s">
        <v>143</v>
      </c>
      <c r="N25" s="14"/>
      <c r="O25" s="7"/>
      <c r="P25" s="14"/>
      <c r="Q25" s="17"/>
      <c r="R25" s="14" t="s">
        <v>33</v>
      </c>
    </row>
    <row r="26" spans="1:20">
      <c r="A26" s="37">
        <v>25</v>
      </c>
      <c r="B26" s="17" t="s">
        <v>23</v>
      </c>
      <c r="C26" s="147">
        <v>46029</v>
      </c>
      <c r="D26" s="15" t="s">
        <v>24</v>
      </c>
      <c r="E26" s="14" t="s">
        <v>96</v>
      </c>
      <c r="F26" s="14" t="s">
        <v>26</v>
      </c>
      <c r="G26" s="14" t="s">
        <v>144</v>
      </c>
      <c r="H26" s="14" t="s">
        <v>145</v>
      </c>
      <c r="I26" s="17" t="s">
        <v>62</v>
      </c>
      <c r="J26" s="17">
        <v>2</v>
      </c>
      <c r="K26" s="14" t="s">
        <v>90</v>
      </c>
      <c r="L26" s="17" t="s">
        <v>31</v>
      </c>
      <c r="M26" s="14" t="s">
        <v>146</v>
      </c>
      <c r="N26" s="14"/>
      <c r="O26" s="7"/>
      <c r="P26" s="14"/>
      <c r="Q26" s="17"/>
      <c r="R26" s="14" t="s">
        <v>33</v>
      </c>
    </row>
    <row r="27" spans="1:20">
      <c r="A27" s="37">
        <v>26</v>
      </c>
      <c r="B27" s="17" t="s">
        <v>23</v>
      </c>
      <c r="C27" s="147">
        <v>46029</v>
      </c>
      <c r="D27" s="15" t="s">
        <v>24</v>
      </c>
      <c r="E27" s="14" t="s">
        <v>96</v>
      </c>
      <c r="F27" s="14" t="s">
        <v>26</v>
      </c>
      <c r="G27" s="14" t="s">
        <v>144</v>
      </c>
      <c r="H27" s="14" t="s">
        <v>145</v>
      </c>
      <c r="I27" s="17" t="s">
        <v>62</v>
      </c>
      <c r="J27" s="17" t="s">
        <v>31</v>
      </c>
      <c r="K27" s="14" t="s">
        <v>63</v>
      </c>
      <c r="L27" s="17" t="s">
        <v>31</v>
      </c>
      <c r="M27" s="14" t="s">
        <v>147</v>
      </c>
      <c r="N27" s="14"/>
      <c r="O27" s="7"/>
      <c r="P27" s="14"/>
      <c r="Q27" s="17"/>
      <c r="R27" s="14" t="s">
        <v>33</v>
      </c>
    </row>
    <row r="28" spans="1:20">
      <c r="A28" s="37">
        <v>27</v>
      </c>
      <c r="B28" s="17" t="s">
        <v>23</v>
      </c>
      <c r="C28" s="147">
        <v>46029</v>
      </c>
      <c r="D28" s="15" t="s">
        <v>24</v>
      </c>
      <c r="E28" s="14" t="s">
        <v>96</v>
      </c>
      <c r="F28" s="14" t="s">
        <v>26</v>
      </c>
      <c r="G28" s="14" t="s">
        <v>144</v>
      </c>
      <c r="H28" s="14" t="s">
        <v>145</v>
      </c>
      <c r="I28" s="17" t="s">
        <v>62</v>
      </c>
      <c r="J28" s="17" t="s">
        <v>31</v>
      </c>
      <c r="K28" s="14" t="s">
        <v>95</v>
      </c>
      <c r="L28" s="17" t="s">
        <v>31</v>
      </c>
      <c r="M28" s="14" t="s">
        <v>148</v>
      </c>
      <c r="N28" s="14"/>
      <c r="O28" s="7"/>
      <c r="P28" s="14"/>
      <c r="Q28" s="17"/>
      <c r="R28" s="14" t="s">
        <v>33</v>
      </c>
    </row>
    <row r="29" spans="1:20" hidden="1">
      <c r="A29" s="37">
        <v>28</v>
      </c>
      <c r="B29" s="17" t="s">
        <v>23</v>
      </c>
      <c r="C29" s="147">
        <v>46029</v>
      </c>
      <c r="D29" s="15" t="s">
        <v>24</v>
      </c>
      <c r="E29" s="14" t="s">
        <v>149</v>
      </c>
      <c r="F29" s="14" t="s">
        <v>26</v>
      </c>
      <c r="G29" s="14" t="s">
        <v>150</v>
      </c>
      <c r="H29" s="14" t="s">
        <v>151</v>
      </c>
      <c r="I29" s="17" t="s">
        <v>29</v>
      </c>
      <c r="J29" s="17">
        <v>5</v>
      </c>
      <c r="K29" s="14" t="s">
        <v>34</v>
      </c>
      <c r="L29" s="17" t="s">
        <v>31</v>
      </c>
      <c r="M29" s="14" t="s">
        <v>152</v>
      </c>
      <c r="N29" s="14"/>
      <c r="O29" s="7"/>
      <c r="P29" s="14"/>
      <c r="Q29" s="17"/>
      <c r="R29" s="14" t="s">
        <v>33</v>
      </c>
    </row>
    <row r="30" spans="1:20" hidden="1">
      <c r="A30" s="37">
        <v>29</v>
      </c>
      <c r="B30" s="17" t="s">
        <v>23</v>
      </c>
      <c r="C30" s="147">
        <v>46029</v>
      </c>
      <c r="D30" s="15" t="s">
        <v>24</v>
      </c>
      <c r="E30" s="14" t="s">
        <v>82</v>
      </c>
      <c r="F30" s="14" t="s">
        <v>26</v>
      </c>
      <c r="G30" s="14" t="s">
        <v>153</v>
      </c>
      <c r="H30" s="14" t="s">
        <v>154</v>
      </c>
      <c r="I30" s="17" t="s">
        <v>29</v>
      </c>
      <c r="J30" s="17">
        <v>1</v>
      </c>
      <c r="K30" s="14" t="s">
        <v>38</v>
      </c>
      <c r="L30" s="17" t="s">
        <v>31</v>
      </c>
      <c r="M30" s="14" t="s">
        <v>155</v>
      </c>
      <c r="N30" s="7" t="s">
        <v>156</v>
      </c>
      <c r="O30" s="24" t="s">
        <v>157</v>
      </c>
      <c r="P30" s="25" t="s">
        <v>158</v>
      </c>
      <c r="Q30" s="25" t="s">
        <v>43</v>
      </c>
      <c r="R30" s="14" t="s">
        <v>33</v>
      </c>
    </row>
    <row r="31" spans="1:20" s="26" customFormat="1">
      <c r="A31" s="37">
        <v>30</v>
      </c>
      <c r="B31" s="28" t="s">
        <v>23</v>
      </c>
      <c r="C31" s="149">
        <v>46030</v>
      </c>
      <c r="D31" s="27" t="s">
        <v>159</v>
      </c>
      <c r="E31" s="26" t="s">
        <v>96</v>
      </c>
      <c r="F31" s="26" t="s">
        <v>160</v>
      </c>
      <c r="G31" s="26" t="s">
        <v>118</v>
      </c>
      <c r="H31" s="26" t="s">
        <v>161</v>
      </c>
      <c r="I31" s="28" t="s">
        <v>29</v>
      </c>
      <c r="J31" s="28">
        <v>1</v>
      </c>
      <c r="K31" s="26" t="s">
        <v>162</v>
      </c>
      <c r="L31" s="28" t="s">
        <v>163</v>
      </c>
      <c r="M31" s="26" t="s">
        <v>164</v>
      </c>
      <c r="N31" s="26" t="s">
        <v>165</v>
      </c>
      <c r="O31" s="33">
        <v>1722317219</v>
      </c>
      <c r="P31" s="34" t="s">
        <v>166</v>
      </c>
      <c r="Q31" s="93"/>
      <c r="R31" s="26" t="s">
        <v>43</v>
      </c>
    </row>
    <row r="32" spans="1:20" hidden="1">
      <c r="A32" s="37">
        <v>31</v>
      </c>
      <c r="B32" s="17" t="s">
        <v>23</v>
      </c>
      <c r="C32" s="147">
        <v>46030</v>
      </c>
      <c r="D32" s="14" t="s">
        <v>24</v>
      </c>
      <c r="E32" s="14" t="s">
        <v>167</v>
      </c>
      <c r="F32" s="14" t="s">
        <v>26</v>
      </c>
      <c r="G32" s="14" t="s">
        <v>168</v>
      </c>
      <c r="H32" s="14" t="s">
        <v>169</v>
      </c>
      <c r="I32" s="17" t="s">
        <v>62</v>
      </c>
      <c r="J32" s="17">
        <v>1</v>
      </c>
      <c r="K32" s="14" t="s">
        <v>38</v>
      </c>
      <c r="L32" s="17" t="s">
        <v>31</v>
      </c>
      <c r="M32" s="14" t="s">
        <v>170</v>
      </c>
      <c r="N32" s="7" t="s">
        <v>171</v>
      </c>
      <c r="O32" s="24" t="s">
        <v>172</v>
      </c>
      <c r="P32" s="25" t="s">
        <v>173</v>
      </c>
      <c r="Q32" s="25" t="s">
        <v>43</v>
      </c>
      <c r="R32" s="14" t="s">
        <v>33</v>
      </c>
    </row>
    <row r="33" spans="1:20" hidden="1">
      <c r="A33" s="37">
        <v>32</v>
      </c>
      <c r="B33" s="17" t="s">
        <v>23</v>
      </c>
      <c r="C33" s="147">
        <v>46030</v>
      </c>
      <c r="D33" s="14" t="s">
        <v>24</v>
      </c>
      <c r="E33" s="14" t="s">
        <v>167</v>
      </c>
      <c r="F33" s="14" t="s">
        <v>26</v>
      </c>
      <c r="G33" s="14" t="s">
        <v>168</v>
      </c>
      <c r="H33" s="14" t="s">
        <v>169</v>
      </c>
      <c r="I33" s="17" t="s">
        <v>37</v>
      </c>
      <c r="J33" s="17">
        <v>2</v>
      </c>
      <c r="K33" s="14" t="s">
        <v>90</v>
      </c>
      <c r="L33" s="17" t="s">
        <v>31</v>
      </c>
      <c r="M33" s="14" t="s">
        <v>174</v>
      </c>
      <c r="N33" s="14"/>
      <c r="O33" s="7"/>
      <c r="P33" s="14"/>
      <c r="Q33" s="17"/>
      <c r="R33" s="14" t="s">
        <v>33</v>
      </c>
    </row>
    <row r="34" spans="1:20" hidden="1">
      <c r="A34" s="37">
        <v>33</v>
      </c>
      <c r="B34" s="17" t="s">
        <v>23</v>
      </c>
      <c r="C34" s="147">
        <v>46031</v>
      </c>
      <c r="D34" s="14" t="s">
        <v>24</v>
      </c>
      <c r="E34" s="14" t="s">
        <v>65</v>
      </c>
      <c r="F34" s="14" t="s">
        <v>26</v>
      </c>
      <c r="G34" s="14" t="s">
        <v>27</v>
      </c>
      <c r="H34" s="14" t="s">
        <v>67</v>
      </c>
      <c r="I34" s="17" t="s">
        <v>29</v>
      </c>
      <c r="J34" s="17">
        <v>6</v>
      </c>
      <c r="K34" s="14" t="s">
        <v>30</v>
      </c>
      <c r="L34" s="17" t="s">
        <v>31</v>
      </c>
      <c r="M34" s="14" t="s">
        <v>30</v>
      </c>
      <c r="N34" s="14"/>
      <c r="O34" s="7"/>
      <c r="P34" s="14"/>
      <c r="Q34" s="17"/>
      <c r="R34" s="14" t="s">
        <v>33</v>
      </c>
    </row>
    <row r="35" spans="1:20" hidden="1">
      <c r="A35" s="37">
        <v>34</v>
      </c>
      <c r="B35" s="17" t="s">
        <v>23</v>
      </c>
      <c r="C35" s="147">
        <v>46031</v>
      </c>
      <c r="D35" s="14" t="s">
        <v>24</v>
      </c>
      <c r="E35" s="14" t="s">
        <v>65</v>
      </c>
      <c r="F35" s="14" t="s">
        <v>26</v>
      </c>
      <c r="G35" s="14" t="s">
        <v>27</v>
      </c>
      <c r="H35" s="14" t="s">
        <v>67</v>
      </c>
      <c r="I35" s="17" t="s">
        <v>29</v>
      </c>
      <c r="J35" s="17">
        <v>1</v>
      </c>
      <c r="K35" s="14" t="s">
        <v>34</v>
      </c>
      <c r="L35" s="17" t="s">
        <v>31</v>
      </c>
      <c r="M35" s="14" t="s">
        <v>175</v>
      </c>
      <c r="N35" s="14"/>
      <c r="O35" s="7"/>
      <c r="P35" s="14"/>
      <c r="Q35" s="17"/>
      <c r="R35" s="14" t="s">
        <v>33</v>
      </c>
    </row>
    <row r="36" spans="1:20" hidden="1">
      <c r="A36" s="37">
        <v>35</v>
      </c>
      <c r="B36" s="17" t="s">
        <v>23</v>
      </c>
      <c r="C36" s="147">
        <v>46031</v>
      </c>
      <c r="D36" s="14" t="s">
        <v>24</v>
      </c>
      <c r="E36" s="14" t="s">
        <v>82</v>
      </c>
      <c r="F36" s="14" t="s">
        <v>26</v>
      </c>
      <c r="G36" s="14" t="s">
        <v>83</v>
      </c>
      <c r="H36" s="14" t="s">
        <v>154</v>
      </c>
      <c r="I36" s="17" t="s">
        <v>62</v>
      </c>
      <c r="J36" s="17">
        <v>5</v>
      </c>
      <c r="K36" s="14" t="s">
        <v>90</v>
      </c>
      <c r="L36" s="17" t="s">
        <v>31</v>
      </c>
      <c r="M36" s="14" t="s">
        <v>176</v>
      </c>
      <c r="N36" s="14"/>
      <c r="O36" s="7"/>
      <c r="P36" s="14"/>
      <c r="Q36" s="17"/>
      <c r="R36" s="14" t="s">
        <v>33</v>
      </c>
    </row>
    <row r="37" spans="1:20" hidden="1">
      <c r="A37" s="37">
        <v>36</v>
      </c>
      <c r="B37" s="17" t="s">
        <v>23</v>
      </c>
      <c r="C37" s="147">
        <v>46031</v>
      </c>
      <c r="D37" s="14" t="s">
        <v>24</v>
      </c>
      <c r="E37" s="14" t="s">
        <v>82</v>
      </c>
      <c r="F37" s="14" t="s">
        <v>26</v>
      </c>
      <c r="G37" s="14" t="s">
        <v>83</v>
      </c>
      <c r="H37" s="14" t="s">
        <v>154</v>
      </c>
      <c r="I37" s="17" t="s">
        <v>62</v>
      </c>
      <c r="J37" s="17" t="s">
        <v>31</v>
      </c>
      <c r="K37" s="14" t="s">
        <v>63</v>
      </c>
      <c r="L37" s="17" t="s">
        <v>31</v>
      </c>
      <c r="M37" s="14" t="s">
        <v>177</v>
      </c>
      <c r="N37" s="14"/>
      <c r="O37" s="7"/>
      <c r="P37" s="14"/>
      <c r="Q37" s="17"/>
      <c r="R37" s="14" t="s">
        <v>33</v>
      </c>
    </row>
    <row r="38" spans="1:20" hidden="1">
      <c r="A38" s="37">
        <v>37</v>
      </c>
      <c r="B38" s="17" t="s">
        <v>23</v>
      </c>
      <c r="C38" s="147">
        <v>46031</v>
      </c>
      <c r="D38" s="14" t="s">
        <v>24</v>
      </c>
      <c r="E38" s="14" t="s">
        <v>178</v>
      </c>
      <c r="F38" s="14" t="s">
        <v>26</v>
      </c>
      <c r="G38" s="14" t="s">
        <v>179</v>
      </c>
      <c r="H38" s="14" t="s">
        <v>180</v>
      </c>
      <c r="I38" s="17" t="s">
        <v>62</v>
      </c>
      <c r="J38" s="17">
        <v>5</v>
      </c>
      <c r="K38" s="14" t="s">
        <v>38</v>
      </c>
      <c r="L38" s="17" t="s">
        <v>31</v>
      </c>
      <c r="M38" s="14" t="s">
        <v>181</v>
      </c>
      <c r="N38" s="29" t="s">
        <v>182</v>
      </c>
      <c r="O38" s="24" t="s">
        <v>183</v>
      </c>
      <c r="P38" s="25" t="s">
        <v>184</v>
      </c>
      <c r="Q38" s="25" t="s">
        <v>43</v>
      </c>
      <c r="R38" s="14" t="s">
        <v>33</v>
      </c>
    </row>
    <row r="39" spans="1:20" hidden="1">
      <c r="A39" s="37">
        <v>38</v>
      </c>
      <c r="B39" s="17" t="s">
        <v>23</v>
      </c>
      <c r="C39" s="147">
        <v>46031</v>
      </c>
      <c r="D39" s="14" t="s">
        <v>24</v>
      </c>
      <c r="E39" s="14" t="s">
        <v>82</v>
      </c>
      <c r="F39" s="14" t="s">
        <v>26</v>
      </c>
      <c r="G39" s="14" t="s">
        <v>153</v>
      </c>
      <c r="H39" s="14" t="s">
        <v>185</v>
      </c>
      <c r="I39" s="17" t="s">
        <v>62</v>
      </c>
      <c r="J39" s="17" t="s">
        <v>31</v>
      </c>
      <c r="K39" s="14" t="s">
        <v>63</v>
      </c>
      <c r="L39" s="17" t="s">
        <v>31</v>
      </c>
      <c r="M39" s="14" t="s">
        <v>186</v>
      </c>
      <c r="N39" s="14"/>
      <c r="O39" s="7"/>
      <c r="P39" s="14"/>
      <c r="Q39" s="17"/>
      <c r="R39" s="14" t="s">
        <v>33</v>
      </c>
    </row>
    <row r="40" spans="1:20" hidden="1">
      <c r="A40" s="37">
        <v>39</v>
      </c>
      <c r="B40" s="17" t="s">
        <v>23</v>
      </c>
      <c r="C40" s="147">
        <v>46032</v>
      </c>
      <c r="D40" s="14" t="s">
        <v>24</v>
      </c>
      <c r="E40" s="14" t="s">
        <v>25</v>
      </c>
      <c r="F40" s="14" t="s">
        <v>26</v>
      </c>
      <c r="G40" s="14" t="s">
        <v>187</v>
      </c>
      <c r="H40" s="14" t="s">
        <v>188</v>
      </c>
      <c r="I40" s="17" t="s">
        <v>37</v>
      </c>
      <c r="J40" s="17">
        <v>1</v>
      </c>
      <c r="K40" s="14" t="s">
        <v>38</v>
      </c>
      <c r="L40" s="17" t="s">
        <v>31</v>
      </c>
      <c r="M40" s="14" t="s">
        <v>189</v>
      </c>
      <c r="N40" s="7" t="s">
        <v>190</v>
      </c>
      <c r="O40" s="24" t="s">
        <v>191</v>
      </c>
      <c r="P40" s="25" t="s">
        <v>192</v>
      </c>
      <c r="Q40" s="25" t="s">
        <v>43</v>
      </c>
      <c r="R40" s="14" t="s">
        <v>43</v>
      </c>
      <c r="T40" s="14" t="s">
        <v>193</v>
      </c>
    </row>
    <row r="41" spans="1:20" hidden="1">
      <c r="A41" s="37">
        <v>40</v>
      </c>
      <c r="B41" s="17" t="s">
        <v>23</v>
      </c>
      <c r="C41" s="147">
        <v>46032</v>
      </c>
      <c r="D41" s="14" t="s">
        <v>24</v>
      </c>
      <c r="E41" s="14" t="s">
        <v>25</v>
      </c>
      <c r="F41" s="14" t="s">
        <v>26</v>
      </c>
      <c r="G41" s="14" t="s">
        <v>187</v>
      </c>
      <c r="H41" s="14" t="s">
        <v>188</v>
      </c>
      <c r="I41" s="17" t="s">
        <v>37</v>
      </c>
      <c r="J41" s="17">
        <v>1</v>
      </c>
      <c r="K41" s="14" t="s">
        <v>194</v>
      </c>
      <c r="L41" s="17" t="s">
        <v>31</v>
      </c>
      <c r="M41" s="14" t="s">
        <v>195</v>
      </c>
      <c r="N41" s="14"/>
      <c r="O41" s="7"/>
      <c r="P41" s="14"/>
      <c r="Q41" s="17"/>
      <c r="R41" s="14" t="s">
        <v>33</v>
      </c>
    </row>
    <row r="42" spans="1:20" hidden="1">
      <c r="A42" s="37">
        <v>41</v>
      </c>
      <c r="B42" s="17" t="s">
        <v>23</v>
      </c>
      <c r="C42" s="147">
        <v>46032</v>
      </c>
      <c r="D42" s="14" t="s">
        <v>24</v>
      </c>
      <c r="E42" s="14" t="s">
        <v>25</v>
      </c>
      <c r="F42" s="14" t="s">
        <v>36</v>
      </c>
      <c r="G42" s="14" t="s">
        <v>187</v>
      </c>
      <c r="H42" s="14" t="s">
        <v>188</v>
      </c>
      <c r="I42" s="17" t="s">
        <v>37</v>
      </c>
      <c r="J42" s="17">
        <v>1</v>
      </c>
      <c r="K42" s="14" t="s">
        <v>196</v>
      </c>
      <c r="L42" s="17" t="s">
        <v>31</v>
      </c>
      <c r="M42" s="14" t="s">
        <v>197</v>
      </c>
      <c r="N42" s="14"/>
      <c r="O42" s="7"/>
      <c r="P42" s="14"/>
      <c r="Q42" s="17"/>
      <c r="R42" s="14" t="s">
        <v>33</v>
      </c>
    </row>
    <row r="43" spans="1:20" hidden="1">
      <c r="A43" s="37">
        <v>42</v>
      </c>
      <c r="B43" s="17" t="s">
        <v>23</v>
      </c>
      <c r="C43" s="147">
        <v>46032</v>
      </c>
      <c r="D43" s="14" t="s">
        <v>24</v>
      </c>
      <c r="E43" s="14" t="s">
        <v>198</v>
      </c>
      <c r="F43" s="14" t="s">
        <v>26</v>
      </c>
      <c r="G43" s="14" t="s">
        <v>199</v>
      </c>
      <c r="H43" s="14" t="s">
        <v>200</v>
      </c>
      <c r="I43" s="17" t="s">
        <v>62</v>
      </c>
      <c r="J43" s="17">
        <v>2</v>
      </c>
      <c r="K43" s="14" t="s">
        <v>90</v>
      </c>
      <c r="L43" s="17" t="s">
        <v>31</v>
      </c>
      <c r="M43" s="14" t="s">
        <v>201</v>
      </c>
      <c r="N43" s="14"/>
      <c r="O43" s="7"/>
      <c r="P43" s="14"/>
      <c r="Q43" s="17"/>
      <c r="R43" s="14" t="s">
        <v>33</v>
      </c>
    </row>
    <row r="44" spans="1:20" hidden="1">
      <c r="A44" s="37">
        <v>43</v>
      </c>
      <c r="B44" s="17" t="s">
        <v>23</v>
      </c>
      <c r="C44" s="147">
        <v>46032</v>
      </c>
      <c r="D44" s="14" t="s">
        <v>24</v>
      </c>
      <c r="E44" s="14" t="s">
        <v>198</v>
      </c>
      <c r="F44" s="14" t="s">
        <v>26</v>
      </c>
      <c r="G44" s="14" t="s">
        <v>199</v>
      </c>
      <c r="H44" s="14" t="s">
        <v>200</v>
      </c>
      <c r="I44" s="17" t="s">
        <v>62</v>
      </c>
      <c r="J44" s="17">
        <v>4</v>
      </c>
      <c r="K44" s="14" t="s">
        <v>202</v>
      </c>
      <c r="L44" s="17" t="s">
        <v>31</v>
      </c>
      <c r="M44" s="14" t="s">
        <v>203</v>
      </c>
      <c r="N44" s="14"/>
      <c r="O44" s="7"/>
      <c r="P44" s="14"/>
      <c r="Q44" s="17"/>
      <c r="R44" s="14" t="s">
        <v>33</v>
      </c>
    </row>
    <row r="45" spans="1:20" hidden="1">
      <c r="A45" s="37">
        <v>44</v>
      </c>
      <c r="B45" s="17" t="s">
        <v>23</v>
      </c>
      <c r="C45" s="147">
        <v>46033</v>
      </c>
      <c r="D45" s="14" t="s">
        <v>24</v>
      </c>
      <c r="E45" s="14" t="s">
        <v>65</v>
      </c>
      <c r="F45" s="14" t="s">
        <v>26</v>
      </c>
      <c r="G45" s="14" t="s">
        <v>66</v>
      </c>
      <c r="H45" s="14" t="s">
        <v>204</v>
      </c>
      <c r="I45" s="17" t="s">
        <v>29</v>
      </c>
      <c r="J45" s="17">
        <v>6</v>
      </c>
      <c r="K45" s="14" t="s">
        <v>38</v>
      </c>
      <c r="L45" s="17" t="s">
        <v>31</v>
      </c>
      <c r="M45" s="14" t="s">
        <v>205</v>
      </c>
      <c r="N45" s="7" t="s">
        <v>206</v>
      </c>
      <c r="O45" s="24" t="s">
        <v>207</v>
      </c>
      <c r="P45" s="25" t="s">
        <v>208</v>
      </c>
      <c r="Q45" s="25" t="s">
        <v>43</v>
      </c>
      <c r="R45" s="14" t="s">
        <v>33</v>
      </c>
    </row>
    <row r="46" spans="1:20" hidden="1">
      <c r="A46" s="37">
        <v>45</v>
      </c>
      <c r="B46" s="17" t="s">
        <v>23</v>
      </c>
      <c r="C46" s="147">
        <v>46033</v>
      </c>
      <c r="D46" s="14" t="s">
        <v>24</v>
      </c>
      <c r="E46" s="14" t="s">
        <v>65</v>
      </c>
      <c r="F46" s="14" t="s">
        <v>26</v>
      </c>
      <c r="G46" s="14" t="s">
        <v>66</v>
      </c>
      <c r="H46" s="14" t="s">
        <v>204</v>
      </c>
      <c r="I46" s="17" t="s">
        <v>29</v>
      </c>
      <c r="J46" s="17">
        <v>1</v>
      </c>
      <c r="K46" s="14" t="s">
        <v>30</v>
      </c>
      <c r="L46" s="17" t="s">
        <v>31</v>
      </c>
      <c r="M46" s="14" t="s">
        <v>209</v>
      </c>
      <c r="N46" s="14"/>
      <c r="O46" s="7"/>
      <c r="P46" s="14"/>
      <c r="Q46" s="17"/>
      <c r="R46" s="14" t="s">
        <v>33</v>
      </c>
    </row>
    <row r="47" spans="1:20" hidden="1">
      <c r="A47" s="37">
        <v>46</v>
      </c>
      <c r="B47" s="17" t="s">
        <v>23</v>
      </c>
      <c r="C47" s="147">
        <v>46033</v>
      </c>
      <c r="D47" s="14" t="s">
        <v>24</v>
      </c>
      <c r="E47" s="14" t="s">
        <v>65</v>
      </c>
      <c r="F47" s="14" t="s">
        <v>26</v>
      </c>
      <c r="G47" s="14" t="s">
        <v>66</v>
      </c>
      <c r="H47" s="14" t="s">
        <v>204</v>
      </c>
      <c r="I47" s="17" t="s">
        <v>29</v>
      </c>
      <c r="J47" s="17">
        <v>1</v>
      </c>
      <c r="K47" s="14" t="s">
        <v>57</v>
      </c>
      <c r="L47" s="17" t="s">
        <v>31</v>
      </c>
      <c r="M47" s="14" t="s">
        <v>210</v>
      </c>
      <c r="N47" s="14"/>
      <c r="O47" s="7"/>
      <c r="P47" s="14"/>
      <c r="Q47" s="17"/>
      <c r="R47" s="14" t="s">
        <v>33</v>
      </c>
    </row>
    <row r="48" spans="1:20" hidden="1">
      <c r="A48" s="37">
        <v>47</v>
      </c>
      <c r="B48" s="17" t="s">
        <v>23</v>
      </c>
      <c r="C48" s="147">
        <v>46034</v>
      </c>
      <c r="D48" s="14" t="s">
        <v>24</v>
      </c>
      <c r="E48" s="14" t="s">
        <v>211</v>
      </c>
      <c r="F48" s="14" t="s">
        <v>26</v>
      </c>
      <c r="G48" s="14" t="s">
        <v>212</v>
      </c>
      <c r="H48" s="14" t="s">
        <v>213</v>
      </c>
      <c r="I48" s="17" t="s">
        <v>29</v>
      </c>
      <c r="J48" s="17">
        <v>5</v>
      </c>
      <c r="K48" s="14" t="s">
        <v>30</v>
      </c>
      <c r="L48" s="17" t="s">
        <v>31</v>
      </c>
      <c r="M48" s="14" t="s">
        <v>214</v>
      </c>
      <c r="N48" s="14"/>
      <c r="O48" s="7"/>
      <c r="P48" s="14"/>
      <c r="Q48" s="17"/>
      <c r="R48" s="14" t="s">
        <v>33</v>
      </c>
    </row>
    <row r="49" spans="1:20" hidden="1">
      <c r="A49" s="37">
        <v>48</v>
      </c>
      <c r="B49" s="17" t="s">
        <v>23</v>
      </c>
      <c r="C49" s="147">
        <v>46034</v>
      </c>
      <c r="D49" s="14" t="s">
        <v>24</v>
      </c>
      <c r="E49" s="14" t="s">
        <v>211</v>
      </c>
      <c r="F49" s="14" t="s">
        <v>26</v>
      </c>
      <c r="G49" s="14" t="s">
        <v>212</v>
      </c>
      <c r="H49" s="14" t="s">
        <v>213</v>
      </c>
      <c r="I49" s="17" t="s">
        <v>29</v>
      </c>
      <c r="J49" s="17">
        <v>3</v>
      </c>
      <c r="K49" s="14" t="s">
        <v>57</v>
      </c>
      <c r="L49" s="17" t="s">
        <v>31</v>
      </c>
      <c r="M49" s="14" t="s">
        <v>215</v>
      </c>
      <c r="N49" s="14"/>
      <c r="P49" s="25"/>
      <c r="R49" s="14" t="s">
        <v>33</v>
      </c>
    </row>
    <row r="50" spans="1:20" ht="32.25" hidden="1" customHeight="1">
      <c r="A50" s="37">
        <v>49</v>
      </c>
      <c r="B50" s="17" t="s">
        <v>23</v>
      </c>
      <c r="C50" s="147">
        <v>46034</v>
      </c>
      <c r="D50" s="14" t="s">
        <v>24</v>
      </c>
      <c r="E50" s="14" t="s">
        <v>216</v>
      </c>
      <c r="F50" s="14" t="s">
        <v>26</v>
      </c>
      <c r="G50" s="14" t="s">
        <v>217</v>
      </c>
      <c r="H50" s="14" t="s">
        <v>218</v>
      </c>
      <c r="I50" s="17" t="s">
        <v>62</v>
      </c>
      <c r="J50" s="17">
        <v>5</v>
      </c>
      <c r="K50" s="14" t="s">
        <v>38</v>
      </c>
      <c r="L50" s="17" t="s">
        <v>31</v>
      </c>
      <c r="M50" s="14" t="s">
        <v>219</v>
      </c>
      <c r="N50" s="7" t="s">
        <v>220</v>
      </c>
      <c r="O50" s="29" t="s">
        <v>221</v>
      </c>
      <c r="P50" s="139" t="s">
        <v>222</v>
      </c>
      <c r="Q50" s="25" t="s">
        <v>43</v>
      </c>
      <c r="R50" s="14" t="s">
        <v>33</v>
      </c>
    </row>
    <row r="51" spans="1:20" ht="22.5" hidden="1">
      <c r="A51" s="37">
        <v>50</v>
      </c>
      <c r="B51" s="17" t="s">
        <v>23</v>
      </c>
      <c r="C51" s="147">
        <v>46034</v>
      </c>
      <c r="D51" s="14" t="s">
        <v>24</v>
      </c>
      <c r="E51" s="14" t="s">
        <v>216</v>
      </c>
      <c r="F51" s="14" t="s">
        <v>26</v>
      </c>
      <c r="G51" s="14" t="s">
        <v>217</v>
      </c>
      <c r="H51" s="14" t="s">
        <v>218</v>
      </c>
      <c r="I51" s="17" t="s">
        <v>62</v>
      </c>
      <c r="J51" s="17" t="s">
        <v>31</v>
      </c>
      <c r="K51" s="14" t="s">
        <v>63</v>
      </c>
      <c r="L51" s="17" t="s">
        <v>31</v>
      </c>
      <c r="M51" s="14" t="s">
        <v>223</v>
      </c>
      <c r="N51" s="32" t="s">
        <v>220</v>
      </c>
      <c r="O51" s="35" t="s">
        <v>221</v>
      </c>
      <c r="P51" s="36" t="s">
        <v>224</v>
      </c>
      <c r="Q51" s="36"/>
      <c r="R51" s="14" t="s">
        <v>33</v>
      </c>
    </row>
    <row r="52" spans="1:20">
      <c r="A52" s="37">
        <v>51</v>
      </c>
      <c r="B52" s="17" t="s">
        <v>23</v>
      </c>
      <c r="C52" s="147">
        <v>46035</v>
      </c>
      <c r="D52" s="14" t="s">
        <v>24</v>
      </c>
      <c r="E52" s="14" t="s">
        <v>96</v>
      </c>
      <c r="F52" s="14" t="s">
        <v>26</v>
      </c>
      <c r="G52" s="14" t="s">
        <v>225</v>
      </c>
      <c r="H52" s="14" t="s">
        <v>98</v>
      </c>
      <c r="I52" s="17" t="s">
        <v>29</v>
      </c>
      <c r="J52" s="17">
        <v>1</v>
      </c>
      <c r="K52" s="14" t="s">
        <v>38</v>
      </c>
      <c r="L52" s="17" t="s">
        <v>31</v>
      </c>
      <c r="M52" s="14" t="s">
        <v>226</v>
      </c>
      <c r="N52" s="7" t="s">
        <v>227</v>
      </c>
      <c r="O52" s="24" t="s">
        <v>228</v>
      </c>
      <c r="P52" s="25" t="s">
        <v>229</v>
      </c>
      <c r="Q52" s="25" t="s">
        <v>43</v>
      </c>
      <c r="R52" s="14" t="s">
        <v>33</v>
      </c>
    </row>
    <row r="53" spans="1:20" hidden="1">
      <c r="A53" s="37">
        <v>52</v>
      </c>
      <c r="B53" s="17" t="s">
        <v>23</v>
      </c>
      <c r="C53" s="147">
        <v>46035</v>
      </c>
      <c r="D53" s="14" t="s">
        <v>24</v>
      </c>
      <c r="E53" s="14" t="s">
        <v>74</v>
      </c>
      <c r="F53" s="14" t="s">
        <v>26</v>
      </c>
      <c r="G53" s="14" t="s">
        <v>225</v>
      </c>
      <c r="H53" s="14" t="s">
        <v>230</v>
      </c>
      <c r="I53" s="17" t="s">
        <v>29</v>
      </c>
      <c r="J53" s="17">
        <v>2</v>
      </c>
      <c r="K53" s="14" t="s">
        <v>38</v>
      </c>
      <c r="L53" s="17" t="s">
        <v>31</v>
      </c>
      <c r="M53" s="14" t="s">
        <v>231</v>
      </c>
      <c r="N53" s="7" t="s">
        <v>232</v>
      </c>
      <c r="O53" s="24" t="s">
        <v>233</v>
      </c>
      <c r="P53" s="25" t="s">
        <v>234</v>
      </c>
      <c r="Q53" s="25" t="s">
        <v>43</v>
      </c>
      <c r="R53" s="14" t="s">
        <v>33</v>
      </c>
    </row>
    <row r="54" spans="1:20" s="26" customFormat="1" hidden="1">
      <c r="A54" s="37">
        <v>53</v>
      </c>
      <c r="B54" s="28" t="s">
        <v>23</v>
      </c>
      <c r="C54" s="149">
        <v>46035</v>
      </c>
      <c r="D54" s="26" t="s">
        <v>24</v>
      </c>
      <c r="E54" s="26" t="s">
        <v>74</v>
      </c>
      <c r="F54" s="14" t="s">
        <v>26</v>
      </c>
      <c r="G54" s="26" t="s">
        <v>225</v>
      </c>
      <c r="H54" s="26" t="s">
        <v>230</v>
      </c>
      <c r="I54" s="28" t="s">
        <v>29</v>
      </c>
      <c r="J54" s="28">
        <v>2</v>
      </c>
      <c r="K54" s="26" t="s">
        <v>57</v>
      </c>
      <c r="L54" s="28" t="s">
        <v>31</v>
      </c>
      <c r="M54" s="26" t="s">
        <v>235</v>
      </c>
      <c r="N54" s="26" t="s">
        <v>232</v>
      </c>
      <c r="O54" s="138" t="s">
        <v>233</v>
      </c>
      <c r="P54" s="93" t="s">
        <v>234</v>
      </c>
      <c r="Q54" s="93"/>
      <c r="R54" s="26" t="s">
        <v>33</v>
      </c>
    </row>
    <row r="55" spans="1:20" hidden="1">
      <c r="A55" s="37">
        <v>54</v>
      </c>
      <c r="B55" s="17" t="s">
        <v>23</v>
      </c>
      <c r="C55" s="147">
        <v>46035</v>
      </c>
      <c r="D55" s="14" t="s">
        <v>24</v>
      </c>
      <c r="E55" s="14" t="s">
        <v>236</v>
      </c>
      <c r="F55" s="14" t="s">
        <v>26</v>
      </c>
      <c r="G55" s="14" t="s">
        <v>237</v>
      </c>
      <c r="H55" s="14" t="s">
        <v>238</v>
      </c>
      <c r="I55" s="17" t="s">
        <v>62</v>
      </c>
      <c r="J55" s="17">
        <v>6</v>
      </c>
      <c r="K55" s="14" t="s">
        <v>38</v>
      </c>
      <c r="L55" s="17" t="s">
        <v>31</v>
      </c>
      <c r="M55" s="14" t="s">
        <v>239</v>
      </c>
      <c r="N55" s="7" t="s">
        <v>240</v>
      </c>
      <c r="O55" s="24" t="s">
        <v>241</v>
      </c>
      <c r="P55" s="25" t="s">
        <v>242</v>
      </c>
      <c r="Q55" s="25" t="s">
        <v>43</v>
      </c>
      <c r="R55" s="14" t="s">
        <v>33</v>
      </c>
    </row>
    <row r="56" spans="1:20" hidden="1">
      <c r="A56" s="37">
        <v>55</v>
      </c>
      <c r="B56" s="17" t="s">
        <v>23</v>
      </c>
      <c r="C56" s="147">
        <v>46036</v>
      </c>
      <c r="D56" s="14" t="s">
        <v>24</v>
      </c>
      <c r="E56" s="14" t="s">
        <v>82</v>
      </c>
      <c r="F56" s="14" t="s">
        <v>26</v>
      </c>
      <c r="G56" s="14" t="s">
        <v>83</v>
      </c>
      <c r="H56" s="14" t="s">
        <v>243</v>
      </c>
      <c r="I56" s="17" t="s">
        <v>29</v>
      </c>
      <c r="J56" s="17">
        <v>5</v>
      </c>
      <c r="K56" s="14" t="s">
        <v>38</v>
      </c>
      <c r="L56" s="17" t="s">
        <v>31</v>
      </c>
      <c r="M56" s="14" t="s">
        <v>244</v>
      </c>
      <c r="N56" s="7" t="s">
        <v>245</v>
      </c>
      <c r="O56" s="24" t="s">
        <v>246</v>
      </c>
      <c r="P56" s="25" t="s">
        <v>247</v>
      </c>
      <c r="Q56" s="25" t="s">
        <v>43</v>
      </c>
      <c r="R56" s="14" t="s">
        <v>33</v>
      </c>
    </row>
    <row r="57" spans="1:20" hidden="1">
      <c r="A57" s="37">
        <v>56</v>
      </c>
      <c r="B57" s="17" t="s">
        <v>23</v>
      </c>
      <c r="C57" s="147">
        <v>46036</v>
      </c>
      <c r="D57" s="14" t="s">
        <v>24</v>
      </c>
      <c r="E57" s="14" t="s">
        <v>59</v>
      </c>
      <c r="F57" s="14" t="s">
        <v>26</v>
      </c>
      <c r="G57" s="14" t="s">
        <v>60</v>
      </c>
      <c r="H57" s="14" t="s">
        <v>72</v>
      </c>
      <c r="I57" s="17" t="s">
        <v>62</v>
      </c>
      <c r="J57" s="17">
        <v>4</v>
      </c>
      <c r="K57" s="14" t="s">
        <v>38</v>
      </c>
      <c r="L57" s="37" t="s">
        <v>31</v>
      </c>
      <c r="M57" s="38" t="s">
        <v>248</v>
      </c>
      <c r="N57" s="29" t="s">
        <v>249</v>
      </c>
      <c r="O57" s="29">
        <v>1718749896</v>
      </c>
      <c r="P57" s="25" t="s">
        <v>250</v>
      </c>
      <c r="Q57" s="25" t="s">
        <v>43</v>
      </c>
      <c r="R57" s="14" t="s">
        <v>33</v>
      </c>
    </row>
    <row r="58" spans="1:20" hidden="1">
      <c r="A58" s="37">
        <v>57</v>
      </c>
      <c r="B58" s="17" t="s">
        <v>23</v>
      </c>
      <c r="C58" s="147">
        <v>46037</v>
      </c>
      <c r="D58" s="14" t="s">
        <v>24</v>
      </c>
      <c r="E58" s="14" t="s">
        <v>251</v>
      </c>
      <c r="F58" s="14" t="s">
        <v>26</v>
      </c>
      <c r="G58" s="14" t="s">
        <v>252</v>
      </c>
      <c r="H58" s="14" t="s">
        <v>253</v>
      </c>
      <c r="I58" s="17" t="s">
        <v>62</v>
      </c>
      <c r="J58" s="17">
        <v>1</v>
      </c>
      <c r="K58" s="14" t="s">
        <v>38</v>
      </c>
      <c r="L58" s="37" t="s">
        <v>31</v>
      </c>
      <c r="M58" s="38" t="s">
        <v>254</v>
      </c>
      <c r="N58" s="7" t="s">
        <v>255</v>
      </c>
      <c r="O58" s="39" t="s">
        <v>256</v>
      </c>
      <c r="P58" s="25" t="s">
        <v>257</v>
      </c>
      <c r="Q58" s="25" t="s">
        <v>43</v>
      </c>
      <c r="R58" s="14" t="s">
        <v>33</v>
      </c>
    </row>
    <row r="59" spans="1:20" ht="22.5" hidden="1">
      <c r="A59" s="37">
        <v>58</v>
      </c>
      <c r="B59" s="17" t="s">
        <v>23</v>
      </c>
      <c r="C59" s="147">
        <v>46037</v>
      </c>
      <c r="D59" s="14" t="s">
        <v>24</v>
      </c>
      <c r="E59" s="14" t="s">
        <v>82</v>
      </c>
      <c r="F59" s="14" t="s">
        <v>26</v>
      </c>
      <c r="G59" s="14" t="s">
        <v>153</v>
      </c>
      <c r="H59" s="14" t="s">
        <v>185</v>
      </c>
      <c r="I59" s="17" t="s">
        <v>29</v>
      </c>
      <c r="J59" s="17">
        <v>5</v>
      </c>
      <c r="K59" s="14" t="s">
        <v>34</v>
      </c>
      <c r="L59" s="17" t="s">
        <v>31</v>
      </c>
      <c r="M59" s="32" t="s">
        <v>258</v>
      </c>
      <c r="N59" s="14"/>
      <c r="P59" s="25"/>
      <c r="R59" s="14" t="s">
        <v>33</v>
      </c>
    </row>
    <row r="60" spans="1:20" ht="15" hidden="1" customHeight="1">
      <c r="A60" s="37">
        <v>59</v>
      </c>
      <c r="B60" s="17" t="s">
        <v>23</v>
      </c>
      <c r="C60" s="147">
        <v>46038</v>
      </c>
      <c r="D60" s="14" t="s">
        <v>24</v>
      </c>
      <c r="E60" s="14" t="s">
        <v>25</v>
      </c>
      <c r="F60" s="14" t="s">
        <v>26</v>
      </c>
      <c r="G60" s="14" t="s">
        <v>27</v>
      </c>
      <c r="H60" s="14" t="s">
        <v>259</v>
      </c>
      <c r="I60" s="17" t="s">
        <v>29</v>
      </c>
      <c r="J60" s="17">
        <v>6</v>
      </c>
      <c r="K60" s="14" t="s">
        <v>38</v>
      </c>
      <c r="L60" s="17" t="s">
        <v>31</v>
      </c>
      <c r="M60" s="40" t="s">
        <v>260</v>
      </c>
      <c r="N60" s="7" t="s">
        <v>261</v>
      </c>
      <c r="O60" s="24" t="s">
        <v>262</v>
      </c>
      <c r="P60" s="25" t="s">
        <v>263</v>
      </c>
      <c r="Q60" s="25" t="s">
        <v>43</v>
      </c>
      <c r="R60" s="14" t="s">
        <v>33</v>
      </c>
    </row>
    <row r="61" spans="1:20" ht="13.5" hidden="1" customHeight="1">
      <c r="A61" s="37">
        <v>60</v>
      </c>
      <c r="B61" s="17" t="s">
        <v>23</v>
      </c>
      <c r="C61" s="147">
        <v>46038</v>
      </c>
      <c r="D61" s="14" t="s">
        <v>24</v>
      </c>
      <c r="E61" s="14" t="s">
        <v>74</v>
      </c>
      <c r="F61" s="14" t="s">
        <v>26</v>
      </c>
      <c r="G61" s="14" t="s">
        <v>264</v>
      </c>
      <c r="H61" s="14" t="s">
        <v>76</v>
      </c>
      <c r="I61" s="17" t="s">
        <v>29</v>
      </c>
      <c r="J61" s="17">
        <v>1</v>
      </c>
      <c r="K61" s="14" t="s">
        <v>38</v>
      </c>
      <c r="L61" s="17" t="s">
        <v>31</v>
      </c>
      <c r="M61" s="40" t="s">
        <v>265</v>
      </c>
      <c r="P61" s="25"/>
      <c r="Q61" s="25" t="s">
        <v>43</v>
      </c>
      <c r="R61" s="14" t="s">
        <v>33</v>
      </c>
      <c r="T61" s="32" t="s">
        <v>266</v>
      </c>
    </row>
    <row r="62" spans="1:20" hidden="1">
      <c r="A62" s="37">
        <v>61</v>
      </c>
      <c r="B62" s="17" t="s">
        <v>23</v>
      </c>
      <c r="C62" s="147">
        <v>46038</v>
      </c>
      <c r="D62" s="14" t="s">
        <v>24</v>
      </c>
      <c r="E62" s="14" t="s">
        <v>82</v>
      </c>
      <c r="F62" s="14" t="s">
        <v>26</v>
      </c>
      <c r="G62" s="14" t="s">
        <v>83</v>
      </c>
      <c r="H62" s="14" t="s">
        <v>84</v>
      </c>
      <c r="I62" s="17" t="s">
        <v>37</v>
      </c>
      <c r="J62" s="17">
        <v>1</v>
      </c>
      <c r="K62" s="14" t="s">
        <v>196</v>
      </c>
      <c r="L62" s="17" t="s">
        <v>31</v>
      </c>
      <c r="M62" s="38" t="s">
        <v>267</v>
      </c>
      <c r="N62" s="14"/>
      <c r="P62" s="25"/>
      <c r="R62" s="14" t="s">
        <v>33</v>
      </c>
    </row>
    <row r="63" spans="1:20" ht="33.75" hidden="1">
      <c r="A63" s="37">
        <v>62</v>
      </c>
      <c r="B63" s="17" t="s">
        <v>23</v>
      </c>
      <c r="C63" s="147">
        <v>46038</v>
      </c>
      <c r="D63" s="14" t="s">
        <v>24</v>
      </c>
      <c r="E63" s="14" t="s">
        <v>268</v>
      </c>
      <c r="F63" s="14" t="s">
        <v>26</v>
      </c>
      <c r="G63" s="14" t="s">
        <v>269</v>
      </c>
      <c r="H63" s="14" t="s">
        <v>259</v>
      </c>
      <c r="I63" s="17" t="s">
        <v>37</v>
      </c>
      <c r="J63" s="17">
        <v>2</v>
      </c>
      <c r="K63" s="14" t="s">
        <v>194</v>
      </c>
      <c r="L63" s="17" t="s">
        <v>31</v>
      </c>
      <c r="M63" s="40" t="s">
        <v>270</v>
      </c>
      <c r="N63" s="14"/>
      <c r="P63" s="25"/>
      <c r="R63" s="14" t="s">
        <v>33</v>
      </c>
    </row>
    <row r="64" spans="1:20" hidden="1">
      <c r="A64" s="37">
        <v>63</v>
      </c>
      <c r="B64" s="17" t="s">
        <v>23</v>
      </c>
      <c r="C64" s="147">
        <v>46039</v>
      </c>
      <c r="D64" s="14" t="s">
        <v>24</v>
      </c>
      <c r="E64" s="14" t="s">
        <v>138</v>
      </c>
      <c r="F64" s="14" t="s">
        <v>26</v>
      </c>
      <c r="G64" s="14" t="s">
        <v>139</v>
      </c>
      <c r="H64" s="14" t="s">
        <v>271</v>
      </c>
      <c r="I64" s="17" t="s">
        <v>37</v>
      </c>
      <c r="J64" s="17">
        <v>4</v>
      </c>
      <c r="K64" s="14" t="s">
        <v>38</v>
      </c>
      <c r="L64" s="17" t="s">
        <v>31</v>
      </c>
      <c r="M64" s="38" t="s">
        <v>272</v>
      </c>
      <c r="N64" s="7" t="s">
        <v>273</v>
      </c>
      <c r="O64" s="24" t="s">
        <v>274</v>
      </c>
      <c r="P64" s="25" t="s">
        <v>275</v>
      </c>
      <c r="Q64" s="25" t="s">
        <v>43</v>
      </c>
      <c r="R64" s="14" t="s">
        <v>33</v>
      </c>
    </row>
    <row r="65" spans="1:19" hidden="1">
      <c r="A65" s="37">
        <v>64</v>
      </c>
      <c r="B65" s="17" t="s">
        <v>23</v>
      </c>
      <c r="C65" s="147">
        <v>46040</v>
      </c>
      <c r="D65" s="14" t="s">
        <v>24</v>
      </c>
      <c r="E65" s="14" t="s">
        <v>211</v>
      </c>
      <c r="F65" s="14" t="s">
        <v>26</v>
      </c>
      <c r="G65" s="14" t="s">
        <v>212</v>
      </c>
      <c r="H65" s="14" t="s">
        <v>213</v>
      </c>
      <c r="I65" s="17" t="s">
        <v>62</v>
      </c>
      <c r="J65" s="17">
        <v>6</v>
      </c>
      <c r="K65" s="14" t="s">
        <v>90</v>
      </c>
      <c r="L65" s="17" t="s">
        <v>31</v>
      </c>
      <c r="M65" s="14" t="s">
        <v>276</v>
      </c>
      <c r="N65" s="14"/>
      <c r="P65" s="25"/>
      <c r="R65" s="14" t="s">
        <v>33</v>
      </c>
    </row>
    <row r="66" spans="1:19" hidden="1">
      <c r="A66" s="37">
        <v>65</v>
      </c>
      <c r="B66" s="17" t="s">
        <v>23</v>
      </c>
      <c r="C66" s="147">
        <v>46040</v>
      </c>
      <c r="D66" s="14" t="s">
        <v>24</v>
      </c>
      <c r="E66" s="14" t="s">
        <v>74</v>
      </c>
      <c r="F66" s="14" t="s">
        <v>26</v>
      </c>
      <c r="G66" s="14" t="s">
        <v>264</v>
      </c>
      <c r="H66" s="14" t="s">
        <v>76</v>
      </c>
      <c r="I66" s="17" t="s">
        <v>37</v>
      </c>
      <c r="J66" s="17">
        <v>4</v>
      </c>
      <c r="K66" s="14" t="s">
        <v>38</v>
      </c>
      <c r="L66" s="17" t="s">
        <v>31</v>
      </c>
      <c r="M66" s="14" t="s">
        <v>277</v>
      </c>
      <c r="N66" s="7" t="s">
        <v>278</v>
      </c>
      <c r="O66" s="24" t="s">
        <v>279</v>
      </c>
      <c r="P66" s="25" t="s">
        <v>280</v>
      </c>
      <c r="Q66" s="25" t="s">
        <v>43</v>
      </c>
      <c r="R66" s="14" t="s">
        <v>33</v>
      </c>
    </row>
    <row r="67" spans="1:19" hidden="1">
      <c r="A67" s="37">
        <v>66</v>
      </c>
      <c r="B67" s="17" t="s">
        <v>23</v>
      </c>
      <c r="C67" s="147">
        <v>46041</v>
      </c>
      <c r="D67" s="14" t="s">
        <v>24</v>
      </c>
      <c r="E67" s="14" t="s">
        <v>74</v>
      </c>
      <c r="F67" s="14" t="s">
        <v>26</v>
      </c>
      <c r="G67" s="14" t="s">
        <v>225</v>
      </c>
      <c r="H67" s="14" t="s">
        <v>281</v>
      </c>
      <c r="I67" s="17" t="s">
        <v>29</v>
      </c>
      <c r="J67" s="17">
        <v>4</v>
      </c>
      <c r="K67" s="14" t="s">
        <v>34</v>
      </c>
      <c r="L67" s="17" t="s">
        <v>31</v>
      </c>
      <c r="M67" s="14" t="s">
        <v>282</v>
      </c>
      <c r="N67" s="14"/>
      <c r="P67" s="25"/>
      <c r="R67" s="14" t="s">
        <v>33</v>
      </c>
    </row>
    <row r="68" spans="1:19" hidden="1">
      <c r="A68" s="37">
        <v>67</v>
      </c>
      <c r="B68" s="17" t="s">
        <v>23</v>
      </c>
      <c r="C68" s="147">
        <v>46042</v>
      </c>
      <c r="D68" s="14" t="s">
        <v>24</v>
      </c>
      <c r="E68" s="14" t="s">
        <v>283</v>
      </c>
      <c r="F68" s="14" t="s">
        <v>26</v>
      </c>
      <c r="G68" s="14" t="s">
        <v>284</v>
      </c>
      <c r="H68" s="14" t="s">
        <v>285</v>
      </c>
      <c r="I68" s="17" t="s">
        <v>29</v>
      </c>
      <c r="J68" s="17">
        <v>1</v>
      </c>
      <c r="K68" s="14" t="s">
        <v>30</v>
      </c>
      <c r="L68" s="17" t="s">
        <v>31</v>
      </c>
      <c r="M68" s="41" t="s">
        <v>286</v>
      </c>
      <c r="N68" s="14"/>
      <c r="P68" s="25"/>
      <c r="R68" s="14" t="s">
        <v>33</v>
      </c>
    </row>
    <row r="69" spans="1:19" hidden="1">
      <c r="A69" s="37">
        <v>68</v>
      </c>
      <c r="B69" s="17" t="s">
        <v>23</v>
      </c>
      <c r="C69" s="147">
        <v>46042</v>
      </c>
      <c r="D69" s="14" t="s">
        <v>24</v>
      </c>
      <c r="E69" s="14" t="s">
        <v>178</v>
      </c>
      <c r="F69" s="14" t="s">
        <v>26</v>
      </c>
      <c r="G69" s="14" t="s">
        <v>179</v>
      </c>
      <c r="H69" s="14" t="s">
        <v>287</v>
      </c>
      <c r="I69" s="17" t="s">
        <v>62</v>
      </c>
      <c r="J69" s="17">
        <v>1</v>
      </c>
      <c r="K69" s="14" t="s">
        <v>90</v>
      </c>
      <c r="L69" s="17" t="s">
        <v>31</v>
      </c>
      <c r="M69" s="14" t="s">
        <v>288</v>
      </c>
      <c r="N69" s="14"/>
      <c r="P69" s="25"/>
      <c r="R69" s="14" t="s">
        <v>33</v>
      </c>
    </row>
    <row r="70" spans="1:19" hidden="1">
      <c r="A70" s="37">
        <v>69</v>
      </c>
      <c r="B70" s="17" t="s">
        <v>23</v>
      </c>
      <c r="C70" s="147">
        <v>46044</v>
      </c>
      <c r="D70" s="14" t="s">
        <v>24</v>
      </c>
      <c r="E70" s="14" t="s">
        <v>289</v>
      </c>
      <c r="F70" s="14" t="s">
        <v>26</v>
      </c>
      <c r="G70" s="14" t="s">
        <v>290</v>
      </c>
      <c r="H70" s="14" t="s">
        <v>291</v>
      </c>
      <c r="I70" s="17" t="s">
        <v>29</v>
      </c>
      <c r="J70" s="17">
        <v>1</v>
      </c>
      <c r="K70" s="14" t="s">
        <v>34</v>
      </c>
      <c r="L70" s="17" t="s">
        <v>31</v>
      </c>
      <c r="M70" s="14" t="s">
        <v>292</v>
      </c>
      <c r="N70" s="14"/>
      <c r="P70" s="25"/>
      <c r="R70" s="14" t="s">
        <v>33</v>
      </c>
    </row>
    <row r="71" spans="1:19" hidden="1">
      <c r="A71" s="37">
        <v>70</v>
      </c>
      <c r="B71" s="17" t="s">
        <v>23</v>
      </c>
      <c r="C71" s="147">
        <v>46044</v>
      </c>
      <c r="D71" s="14" t="s">
        <v>24</v>
      </c>
      <c r="E71" s="14" t="s">
        <v>216</v>
      </c>
      <c r="F71" s="14" t="s">
        <v>26</v>
      </c>
      <c r="G71" s="14" t="s">
        <v>293</v>
      </c>
      <c r="H71" s="14" t="s">
        <v>218</v>
      </c>
      <c r="I71" s="17" t="s">
        <v>37</v>
      </c>
      <c r="J71" s="17">
        <v>4</v>
      </c>
      <c r="K71" s="14" t="s">
        <v>34</v>
      </c>
      <c r="L71" s="17" t="s">
        <v>31</v>
      </c>
      <c r="M71" s="14" t="s">
        <v>294</v>
      </c>
      <c r="N71" s="14"/>
      <c r="P71" s="25"/>
      <c r="R71" s="14" t="s">
        <v>33</v>
      </c>
    </row>
    <row r="72" spans="1:19" hidden="1">
      <c r="A72" s="37">
        <v>71</v>
      </c>
      <c r="B72" s="17" t="s">
        <v>23</v>
      </c>
      <c r="C72" s="147">
        <v>46044</v>
      </c>
      <c r="D72" s="14" t="s">
        <v>24</v>
      </c>
      <c r="E72" s="14" t="s">
        <v>138</v>
      </c>
      <c r="F72" s="14" t="s">
        <v>36</v>
      </c>
      <c r="G72" s="14" t="s">
        <v>139</v>
      </c>
      <c r="H72" s="14" t="s">
        <v>295</v>
      </c>
      <c r="I72" s="17" t="s">
        <v>62</v>
      </c>
      <c r="J72" s="17">
        <v>4</v>
      </c>
      <c r="K72" s="14" t="s">
        <v>38</v>
      </c>
      <c r="L72" s="17" t="s">
        <v>31</v>
      </c>
      <c r="M72" s="14" t="s">
        <v>296</v>
      </c>
      <c r="N72" s="7" t="s">
        <v>297</v>
      </c>
      <c r="O72" s="24" t="s">
        <v>298</v>
      </c>
      <c r="P72" s="25" t="s">
        <v>299</v>
      </c>
      <c r="Q72" s="25" t="s">
        <v>43</v>
      </c>
      <c r="R72" s="14" t="s">
        <v>33</v>
      </c>
    </row>
    <row r="73" spans="1:19">
      <c r="A73" s="37">
        <v>72</v>
      </c>
      <c r="B73" s="17" t="s">
        <v>23</v>
      </c>
      <c r="C73" s="147">
        <v>46044</v>
      </c>
      <c r="D73" s="14" t="s">
        <v>24</v>
      </c>
      <c r="E73" s="14" t="s">
        <v>96</v>
      </c>
      <c r="F73" s="14" t="s">
        <v>26</v>
      </c>
      <c r="G73" s="14" t="s">
        <v>97</v>
      </c>
      <c r="H73" s="14" t="s">
        <v>98</v>
      </c>
      <c r="I73" s="17" t="s">
        <v>62</v>
      </c>
      <c r="J73" s="17">
        <v>1</v>
      </c>
      <c r="K73" s="14" t="s">
        <v>38</v>
      </c>
      <c r="L73" s="17" t="s">
        <v>31</v>
      </c>
      <c r="M73" s="14" t="s">
        <v>300</v>
      </c>
      <c r="N73" s="7" t="s">
        <v>301</v>
      </c>
      <c r="O73" s="24" t="s">
        <v>302</v>
      </c>
      <c r="P73" s="25" t="s">
        <v>303</v>
      </c>
      <c r="Q73" s="25" t="s">
        <v>43</v>
      </c>
      <c r="R73" s="14" t="s">
        <v>33</v>
      </c>
    </row>
    <row r="74" spans="1:19" hidden="1">
      <c r="A74" s="37">
        <v>73</v>
      </c>
      <c r="B74" s="17" t="s">
        <v>23</v>
      </c>
      <c r="C74" s="147">
        <v>46045</v>
      </c>
      <c r="D74" s="14" t="s">
        <v>24</v>
      </c>
      <c r="E74" s="14" t="s">
        <v>138</v>
      </c>
      <c r="F74" s="14" t="s">
        <v>36</v>
      </c>
      <c r="G74" s="14" t="s">
        <v>139</v>
      </c>
      <c r="H74" s="14" t="s">
        <v>304</v>
      </c>
      <c r="I74" s="17" t="s">
        <v>62</v>
      </c>
      <c r="J74" s="17">
        <v>3</v>
      </c>
      <c r="K74" s="14" t="s">
        <v>38</v>
      </c>
      <c r="L74" s="17" t="s">
        <v>31</v>
      </c>
      <c r="M74" s="14" t="s">
        <v>305</v>
      </c>
      <c r="N74" s="7" t="s">
        <v>306</v>
      </c>
      <c r="O74" s="24" t="s">
        <v>307</v>
      </c>
      <c r="P74" s="25" t="s">
        <v>308</v>
      </c>
      <c r="Q74" s="25" t="s">
        <v>43</v>
      </c>
      <c r="R74" s="14" t="s">
        <v>33</v>
      </c>
    </row>
    <row r="75" spans="1:19" hidden="1">
      <c r="A75" s="37">
        <v>74</v>
      </c>
      <c r="B75" s="17" t="s">
        <v>23</v>
      </c>
      <c r="C75" s="147">
        <v>46045</v>
      </c>
      <c r="D75" s="14" t="s">
        <v>24</v>
      </c>
      <c r="E75" s="14" t="s">
        <v>309</v>
      </c>
      <c r="F75" s="14" t="s">
        <v>26</v>
      </c>
      <c r="G75" s="14" t="s">
        <v>310</v>
      </c>
      <c r="H75" s="14" t="s">
        <v>311</v>
      </c>
      <c r="I75" s="17" t="s">
        <v>29</v>
      </c>
      <c r="J75" s="17">
        <v>1</v>
      </c>
      <c r="K75" s="14" t="s">
        <v>38</v>
      </c>
      <c r="L75" s="17" t="s">
        <v>31</v>
      </c>
      <c r="M75" s="14" t="s">
        <v>312</v>
      </c>
      <c r="N75" s="7" t="s">
        <v>313</v>
      </c>
      <c r="O75" s="24" t="s">
        <v>314</v>
      </c>
      <c r="P75" s="25" t="s">
        <v>315</v>
      </c>
      <c r="Q75" s="25" t="s">
        <v>43</v>
      </c>
      <c r="R75" s="14" t="s">
        <v>33</v>
      </c>
    </row>
    <row r="76" spans="1:19" ht="19.5" hidden="1" customHeight="1">
      <c r="A76" s="37">
        <v>75</v>
      </c>
      <c r="B76" s="17" t="s">
        <v>23</v>
      </c>
      <c r="C76" s="147">
        <v>46045</v>
      </c>
      <c r="D76" s="14" t="s">
        <v>24</v>
      </c>
      <c r="E76" s="14" t="s">
        <v>74</v>
      </c>
      <c r="F76" s="14" t="s">
        <v>26</v>
      </c>
      <c r="G76" s="14" t="s">
        <v>264</v>
      </c>
      <c r="H76" s="14" t="s">
        <v>316</v>
      </c>
      <c r="I76" s="17" t="s">
        <v>37</v>
      </c>
      <c r="J76" s="17">
        <v>1</v>
      </c>
      <c r="K76" s="14" t="s">
        <v>38</v>
      </c>
      <c r="L76" s="17" t="s">
        <v>31</v>
      </c>
      <c r="M76" s="14" t="s">
        <v>317</v>
      </c>
      <c r="N76" s="7" t="s">
        <v>318</v>
      </c>
      <c r="O76" s="24" t="s">
        <v>319</v>
      </c>
      <c r="P76" s="25" t="s">
        <v>320</v>
      </c>
      <c r="Q76" s="25" t="s">
        <v>43</v>
      </c>
      <c r="R76" s="14" t="s">
        <v>33</v>
      </c>
    </row>
    <row r="77" spans="1:19" s="42" customFormat="1" ht="18.75" hidden="1" customHeight="1">
      <c r="A77" s="37">
        <v>76</v>
      </c>
      <c r="B77" s="43" t="s">
        <v>23</v>
      </c>
      <c r="C77" s="154">
        <v>46046</v>
      </c>
      <c r="D77" s="42" t="s">
        <v>24</v>
      </c>
      <c r="E77" s="42" t="s">
        <v>321</v>
      </c>
      <c r="F77" s="42" t="s">
        <v>36</v>
      </c>
      <c r="G77" s="42" t="s">
        <v>322</v>
      </c>
      <c r="H77" s="42" t="s">
        <v>323</v>
      </c>
      <c r="I77" s="43" t="s">
        <v>29</v>
      </c>
      <c r="J77" s="43">
        <v>6</v>
      </c>
      <c r="K77" s="42" t="s">
        <v>38</v>
      </c>
      <c r="L77" s="43" t="s">
        <v>31</v>
      </c>
      <c r="M77" s="42" t="s">
        <v>324</v>
      </c>
      <c r="N77" s="44" t="s">
        <v>325</v>
      </c>
      <c r="O77" s="45" t="s">
        <v>326</v>
      </c>
      <c r="P77" s="46" t="s">
        <v>327</v>
      </c>
      <c r="Q77" s="25" t="s">
        <v>43</v>
      </c>
      <c r="R77" s="14" t="s">
        <v>33</v>
      </c>
      <c r="S77" s="14"/>
    </row>
    <row r="78" spans="1:19" hidden="1">
      <c r="A78" s="37">
        <v>77</v>
      </c>
      <c r="B78" s="17" t="s">
        <v>23</v>
      </c>
      <c r="C78" s="147">
        <v>46047</v>
      </c>
      <c r="D78" s="14" t="s">
        <v>24</v>
      </c>
      <c r="E78" s="14" t="s">
        <v>328</v>
      </c>
      <c r="F78" s="14" t="s">
        <v>26</v>
      </c>
      <c r="G78" s="14" t="s">
        <v>329</v>
      </c>
      <c r="H78" s="14" t="s">
        <v>330</v>
      </c>
      <c r="I78" s="17" t="s">
        <v>62</v>
      </c>
      <c r="J78" s="17" t="s">
        <v>31</v>
      </c>
      <c r="K78" s="14" t="s">
        <v>63</v>
      </c>
      <c r="L78" s="17" t="s">
        <v>31</v>
      </c>
      <c r="M78" s="14" t="s">
        <v>331</v>
      </c>
      <c r="N78" s="14"/>
      <c r="P78" s="25"/>
      <c r="R78" s="14" t="s">
        <v>33</v>
      </c>
    </row>
    <row r="79" spans="1:19" hidden="1">
      <c r="A79" s="37">
        <v>78</v>
      </c>
      <c r="B79" s="17" t="s">
        <v>23</v>
      </c>
      <c r="C79" s="147">
        <v>46047</v>
      </c>
      <c r="D79" s="14" t="s">
        <v>24</v>
      </c>
      <c r="E79" s="14" t="s">
        <v>332</v>
      </c>
      <c r="F79" s="14" t="s">
        <v>26</v>
      </c>
      <c r="G79" s="14" t="s">
        <v>333</v>
      </c>
      <c r="H79" s="14" t="s">
        <v>334</v>
      </c>
      <c r="I79" s="17" t="s">
        <v>29</v>
      </c>
      <c r="J79" s="17">
        <v>5</v>
      </c>
      <c r="K79" s="14" t="s">
        <v>34</v>
      </c>
      <c r="L79" s="17" t="s">
        <v>31</v>
      </c>
      <c r="M79" s="14" t="s">
        <v>335</v>
      </c>
      <c r="N79" s="14"/>
      <c r="P79" s="25"/>
      <c r="R79" s="14" t="s">
        <v>33</v>
      </c>
    </row>
    <row r="80" spans="1:19" hidden="1">
      <c r="A80" s="37">
        <v>79</v>
      </c>
      <c r="B80" s="17" t="s">
        <v>23</v>
      </c>
      <c r="C80" s="147">
        <v>46048</v>
      </c>
      <c r="D80" s="14" t="s">
        <v>24</v>
      </c>
      <c r="E80" s="14" t="s">
        <v>25</v>
      </c>
      <c r="F80" s="14" t="s">
        <v>26</v>
      </c>
      <c r="G80" s="14" t="s">
        <v>27</v>
      </c>
      <c r="H80" s="14" t="s">
        <v>28</v>
      </c>
      <c r="I80" s="17" t="s">
        <v>37</v>
      </c>
      <c r="J80" s="17">
        <v>1</v>
      </c>
      <c r="K80" s="14" t="s">
        <v>38</v>
      </c>
      <c r="L80" s="17" t="s">
        <v>31</v>
      </c>
      <c r="M80" s="14" t="s">
        <v>336</v>
      </c>
      <c r="N80" s="7" t="s">
        <v>337</v>
      </c>
      <c r="O80" s="24" t="s">
        <v>338</v>
      </c>
      <c r="P80" s="25" t="s">
        <v>339</v>
      </c>
      <c r="Q80" s="25" t="s">
        <v>43</v>
      </c>
      <c r="R80" s="14" t="s">
        <v>33</v>
      </c>
    </row>
    <row r="81" spans="1:21" hidden="1">
      <c r="A81" s="37">
        <v>80</v>
      </c>
      <c r="B81" s="17" t="s">
        <v>23</v>
      </c>
      <c r="C81" s="147">
        <v>46048</v>
      </c>
      <c r="D81" s="14" t="s">
        <v>24</v>
      </c>
      <c r="E81" s="14" t="s">
        <v>340</v>
      </c>
      <c r="F81" s="14" t="s">
        <v>26</v>
      </c>
      <c r="G81" s="14" t="s">
        <v>341</v>
      </c>
      <c r="H81" s="14" t="s">
        <v>342</v>
      </c>
      <c r="I81" s="17" t="s">
        <v>62</v>
      </c>
      <c r="J81" s="17" t="s">
        <v>31</v>
      </c>
      <c r="K81" s="14" t="s">
        <v>63</v>
      </c>
      <c r="L81" s="17" t="s">
        <v>31</v>
      </c>
      <c r="M81" s="14" t="s">
        <v>343</v>
      </c>
      <c r="N81" s="14"/>
      <c r="P81" s="25"/>
      <c r="R81" s="14" t="s">
        <v>33</v>
      </c>
    </row>
    <row r="82" spans="1:21" s="42" customFormat="1" ht="19.5" customHeight="1">
      <c r="A82" s="37">
        <v>81</v>
      </c>
      <c r="B82" s="43" t="s">
        <v>23</v>
      </c>
      <c r="C82" s="154">
        <v>46049</v>
      </c>
      <c r="D82" s="42" t="s">
        <v>24</v>
      </c>
      <c r="E82" s="42" t="s">
        <v>96</v>
      </c>
      <c r="F82" s="14" t="s">
        <v>26</v>
      </c>
      <c r="G82" s="42" t="s">
        <v>144</v>
      </c>
      <c r="H82" s="42" t="s">
        <v>344</v>
      </c>
      <c r="I82" s="43" t="s">
        <v>37</v>
      </c>
      <c r="J82" s="43">
        <v>1</v>
      </c>
      <c r="K82" s="42" t="s">
        <v>38</v>
      </c>
      <c r="L82" s="43" t="s">
        <v>31</v>
      </c>
      <c r="M82" s="42" t="s">
        <v>345</v>
      </c>
      <c r="N82" s="44" t="s">
        <v>346</v>
      </c>
      <c r="O82" s="47" t="s">
        <v>347</v>
      </c>
      <c r="P82" s="46" t="s">
        <v>348</v>
      </c>
      <c r="Q82" s="25" t="s">
        <v>43</v>
      </c>
      <c r="R82" s="14" t="s">
        <v>33</v>
      </c>
      <c r="S82" s="14"/>
    </row>
    <row r="83" spans="1:21" hidden="1">
      <c r="A83" s="37">
        <v>82</v>
      </c>
      <c r="B83" s="17" t="s">
        <v>23</v>
      </c>
      <c r="C83" s="147">
        <v>46049</v>
      </c>
      <c r="D83" s="14" t="s">
        <v>24</v>
      </c>
      <c r="E83" s="14" t="s">
        <v>349</v>
      </c>
      <c r="F83" s="14" t="s">
        <v>26</v>
      </c>
      <c r="G83" s="14" t="s">
        <v>350</v>
      </c>
      <c r="H83" s="14" t="s">
        <v>351</v>
      </c>
      <c r="I83" s="17" t="s">
        <v>29</v>
      </c>
      <c r="J83" s="17">
        <v>5</v>
      </c>
      <c r="K83" s="14" t="s">
        <v>38</v>
      </c>
      <c r="L83" s="17" t="s">
        <v>31</v>
      </c>
      <c r="M83" s="14" t="s">
        <v>352</v>
      </c>
      <c r="N83" s="7" t="s">
        <v>353</v>
      </c>
      <c r="O83" s="24" t="s">
        <v>354</v>
      </c>
      <c r="P83" s="25" t="s">
        <v>355</v>
      </c>
      <c r="Q83" s="25" t="s">
        <v>43</v>
      </c>
      <c r="R83" s="14" t="s">
        <v>33</v>
      </c>
    </row>
    <row r="84" spans="1:21" hidden="1">
      <c r="A84" s="37">
        <v>83</v>
      </c>
      <c r="B84" s="17" t="s">
        <v>23</v>
      </c>
      <c r="C84" s="147">
        <v>46049</v>
      </c>
      <c r="D84" s="14" t="s">
        <v>24</v>
      </c>
      <c r="E84" s="14" t="s">
        <v>74</v>
      </c>
      <c r="F84" s="14" t="s">
        <v>26</v>
      </c>
      <c r="G84" s="14" t="s">
        <v>264</v>
      </c>
      <c r="H84" s="14" t="s">
        <v>356</v>
      </c>
      <c r="I84" s="17" t="s">
        <v>29</v>
      </c>
      <c r="J84" s="17">
        <v>6</v>
      </c>
      <c r="K84" s="14" t="s">
        <v>30</v>
      </c>
      <c r="L84" s="17" t="s">
        <v>31</v>
      </c>
      <c r="M84" s="14" t="s">
        <v>357</v>
      </c>
      <c r="N84" s="14"/>
      <c r="P84" s="25"/>
      <c r="R84" s="14" t="s">
        <v>33</v>
      </c>
    </row>
    <row r="85" spans="1:21" hidden="1">
      <c r="A85" s="37">
        <v>84</v>
      </c>
      <c r="B85" s="17" t="s">
        <v>23</v>
      </c>
      <c r="C85" s="147">
        <v>46050</v>
      </c>
      <c r="D85" s="14" t="s">
        <v>358</v>
      </c>
      <c r="E85" s="14" t="s">
        <v>128</v>
      </c>
      <c r="F85" s="14" t="s">
        <v>26</v>
      </c>
      <c r="G85" s="14" t="s">
        <v>359</v>
      </c>
      <c r="H85" s="14" t="s">
        <v>360</v>
      </c>
      <c r="I85" s="17" t="s">
        <v>62</v>
      </c>
      <c r="J85" s="17">
        <v>6</v>
      </c>
      <c r="K85" s="14" t="s">
        <v>90</v>
      </c>
      <c r="L85" s="17" t="s">
        <v>31</v>
      </c>
      <c r="M85" s="14" t="s">
        <v>361</v>
      </c>
      <c r="N85" s="14"/>
      <c r="P85" s="25"/>
      <c r="R85" s="14" t="s">
        <v>33</v>
      </c>
    </row>
    <row r="86" spans="1:21" s="42" customFormat="1" ht="14.25" hidden="1" customHeight="1">
      <c r="A86" s="37">
        <v>85</v>
      </c>
      <c r="B86" s="43" t="s">
        <v>23</v>
      </c>
      <c r="C86" s="154">
        <v>46050</v>
      </c>
      <c r="D86" s="42" t="s">
        <v>24</v>
      </c>
      <c r="E86" s="42" t="s">
        <v>82</v>
      </c>
      <c r="F86" s="14" t="s">
        <v>26</v>
      </c>
      <c r="G86" s="42" t="s">
        <v>83</v>
      </c>
      <c r="H86" s="42" t="s">
        <v>185</v>
      </c>
      <c r="I86" s="43" t="s">
        <v>37</v>
      </c>
      <c r="J86" s="43">
        <v>1</v>
      </c>
      <c r="K86" s="42" t="s">
        <v>38</v>
      </c>
      <c r="L86" s="43" t="s">
        <v>31</v>
      </c>
      <c r="M86" s="42" t="s">
        <v>362</v>
      </c>
      <c r="N86" s="44" t="s">
        <v>363</v>
      </c>
      <c r="O86" s="47" t="s">
        <v>364</v>
      </c>
      <c r="P86" s="46" t="s">
        <v>365</v>
      </c>
      <c r="Q86" s="25" t="s">
        <v>43</v>
      </c>
      <c r="R86" s="14" t="s">
        <v>33</v>
      </c>
      <c r="S86" s="14"/>
    </row>
    <row r="87" spans="1:21" hidden="1">
      <c r="A87" s="37">
        <v>86</v>
      </c>
      <c r="B87" s="17" t="s">
        <v>23</v>
      </c>
      <c r="C87" s="147">
        <v>46050</v>
      </c>
      <c r="D87" s="14" t="s">
        <v>24</v>
      </c>
      <c r="E87" s="14" t="s">
        <v>82</v>
      </c>
      <c r="F87" s="14" t="s">
        <v>26</v>
      </c>
      <c r="G87" s="14" t="s">
        <v>83</v>
      </c>
      <c r="H87" s="14" t="s">
        <v>366</v>
      </c>
      <c r="I87" s="17" t="s">
        <v>37</v>
      </c>
      <c r="J87" s="17">
        <v>5</v>
      </c>
      <c r="K87" s="14" t="s">
        <v>194</v>
      </c>
      <c r="L87" s="17" t="s">
        <v>31</v>
      </c>
      <c r="M87" s="14" t="s">
        <v>367</v>
      </c>
      <c r="N87" s="14"/>
      <c r="P87" s="25"/>
      <c r="R87" s="14" t="s">
        <v>33</v>
      </c>
    </row>
    <row r="88" spans="1:21">
      <c r="A88" s="37">
        <v>87</v>
      </c>
      <c r="B88" s="17" t="s">
        <v>23</v>
      </c>
      <c r="C88" s="147">
        <v>46053</v>
      </c>
      <c r="D88" s="14" t="s">
        <v>24</v>
      </c>
      <c r="E88" s="14" t="s">
        <v>96</v>
      </c>
      <c r="F88" s="14" t="s">
        <v>26</v>
      </c>
      <c r="G88" s="14" t="s">
        <v>144</v>
      </c>
      <c r="H88" s="14" t="s">
        <v>98</v>
      </c>
      <c r="I88" s="17" t="s">
        <v>29</v>
      </c>
      <c r="J88" s="17">
        <v>3</v>
      </c>
      <c r="K88" s="14" t="s">
        <v>34</v>
      </c>
      <c r="L88" s="17" t="s">
        <v>31</v>
      </c>
      <c r="M88" s="14" t="s">
        <v>368</v>
      </c>
      <c r="N88" s="14"/>
      <c r="P88" s="25"/>
      <c r="R88" s="14" t="s">
        <v>33</v>
      </c>
    </row>
    <row r="89" spans="1:21" ht="18.75" hidden="1" customHeight="1">
      <c r="A89" s="37">
        <v>88</v>
      </c>
      <c r="B89" s="43" t="s">
        <v>23</v>
      </c>
      <c r="C89" s="154">
        <v>46053</v>
      </c>
      <c r="D89" s="42" t="s">
        <v>24</v>
      </c>
      <c r="E89" s="42" t="s">
        <v>74</v>
      </c>
      <c r="F89" s="14" t="s">
        <v>26</v>
      </c>
      <c r="G89" s="42" t="s">
        <v>225</v>
      </c>
      <c r="H89" s="42" t="s">
        <v>281</v>
      </c>
      <c r="I89" s="43" t="s">
        <v>62</v>
      </c>
      <c r="J89" s="43">
        <v>1</v>
      </c>
      <c r="K89" s="42" t="s">
        <v>38</v>
      </c>
      <c r="L89" s="43" t="s">
        <v>31</v>
      </c>
      <c r="M89" s="42" t="s">
        <v>369</v>
      </c>
      <c r="N89" s="48" t="s">
        <v>370</v>
      </c>
      <c r="O89" s="45" t="s">
        <v>371</v>
      </c>
      <c r="P89" s="46" t="s">
        <v>372</v>
      </c>
      <c r="Q89" s="25" t="s">
        <v>43</v>
      </c>
      <c r="R89" s="14" t="s">
        <v>373</v>
      </c>
      <c r="T89" s="14" t="s">
        <v>374</v>
      </c>
    </row>
    <row r="90" spans="1:21" hidden="1">
      <c r="A90" s="37">
        <v>89</v>
      </c>
      <c r="B90" s="17" t="s">
        <v>23</v>
      </c>
      <c r="C90" s="147">
        <v>46053</v>
      </c>
      <c r="D90" s="14" t="s">
        <v>24</v>
      </c>
      <c r="E90" s="14" t="s">
        <v>74</v>
      </c>
      <c r="F90" s="14" t="s">
        <v>26</v>
      </c>
      <c r="G90" s="14" t="s">
        <v>225</v>
      </c>
      <c r="H90" s="14" t="s">
        <v>281</v>
      </c>
      <c r="I90" s="17" t="s">
        <v>62</v>
      </c>
      <c r="J90" s="17">
        <v>2</v>
      </c>
      <c r="K90" s="14" t="s">
        <v>90</v>
      </c>
      <c r="L90" s="17" t="s">
        <v>31</v>
      </c>
      <c r="M90" s="14" t="s">
        <v>375</v>
      </c>
      <c r="N90" s="14"/>
      <c r="P90" s="25"/>
      <c r="Q90" s="25" t="s">
        <v>33</v>
      </c>
      <c r="R90" s="14" t="s">
        <v>33</v>
      </c>
    </row>
    <row r="91" spans="1:21" hidden="1">
      <c r="A91" s="37">
        <v>90</v>
      </c>
      <c r="B91" s="17" t="s">
        <v>376</v>
      </c>
      <c r="C91" s="147">
        <v>46054</v>
      </c>
      <c r="D91" s="14" t="s">
        <v>24</v>
      </c>
      <c r="E91" s="14" t="s">
        <v>109</v>
      </c>
      <c r="F91" s="14" t="s">
        <v>26</v>
      </c>
      <c r="G91" s="14" t="s">
        <v>110</v>
      </c>
      <c r="H91" s="14" t="s">
        <v>377</v>
      </c>
      <c r="I91" s="17" t="s">
        <v>29</v>
      </c>
      <c r="J91" s="17">
        <v>5</v>
      </c>
      <c r="K91" s="14" t="s">
        <v>38</v>
      </c>
      <c r="L91" s="17" t="s">
        <v>31</v>
      </c>
      <c r="M91" s="14" t="s">
        <v>378</v>
      </c>
      <c r="N91" s="7" t="s">
        <v>379</v>
      </c>
      <c r="O91" s="50" t="s">
        <v>380</v>
      </c>
      <c r="P91" s="50" t="s">
        <v>381</v>
      </c>
      <c r="Q91" s="25" t="s">
        <v>43</v>
      </c>
      <c r="R91" s="14" t="s">
        <v>43</v>
      </c>
      <c r="S91" s="14" t="s">
        <v>33</v>
      </c>
      <c r="T91" s="14" t="s">
        <v>382</v>
      </c>
    </row>
    <row r="92" spans="1:21" hidden="1">
      <c r="A92" s="37">
        <v>91</v>
      </c>
      <c r="B92" s="17" t="s">
        <v>376</v>
      </c>
      <c r="C92" s="147">
        <v>46054</v>
      </c>
      <c r="D92" s="14" t="s">
        <v>24</v>
      </c>
      <c r="E92" s="14" t="s">
        <v>383</v>
      </c>
      <c r="F92" s="14" t="s">
        <v>36</v>
      </c>
      <c r="G92" s="14" t="s">
        <v>264</v>
      </c>
      <c r="H92" s="14" t="s">
        <v>384</v>
      </c>
      <c r="I92" s="17" t="s">
        <v>62</v>
      </c>
      <c r="J92" s="17">
        <v>1</v>
      </c>
      <c r="K92" s="14" t="s">
        <v>141</v>
      </c>
      <c r="L92" s="17" t="s">
        <v>31</v>
      </c>
      <c r="M92" s="26" t="s">
        <v>385</v>
      </c>
      <c r="N92" s="49" t="s">
        <v>386</v>
      </c>
      <c r="O92" s="29">
        <v>1710682855</v>
      </c>
      <c r="P92" s="24" t="s">
        <v>387</v>
      </c>
      <c r="R92" s="14" t="s">
        <v>43</v>
      </c>
      <c r="S92" s="14" t="s">
        <v>33</v>
      </c>
      <c r="T92" s="14" t="s">
        <v>382</v>
      </c>
    </row>
    <row r="93" spans="1:21" hidden="1">
      <c r="A93" s="37">
        <v>92</v>
      </c>
      <c r="B93" s="17" t="s">
        <v>376</v>
      </c>
      <c r="C93" s="147">
        <v>46054</v>
      </c>
      <c r="D93" s="14" t="s">
        <v>358</v>
      </c>
      <c r="E93" s="14" t="s">
        <v>53</v>
      </c>
      <c r="F93" s="14" t="s">
        <v>26</v>
      </c>
      <c r="G93" s="14" t="s">
        <v>54</v>
      </c>
      <c r="H93" s="14" t="s">
        <v>55</v>
      </c>
      <c r="I93" s="17" t="s">
        <v>29</v>
      </c>
      <c r="J93" s="17">
        <v>4</v>
      </c>
      <c r="K93" s="14" t="s">
        <v>38</v>
      </c>
      <c r="L93" s="17" t="s">
        <v>31</v>
      </c>
      <c r="M93" s="14" t="s">
        <v>388</v>
      </c>
      <c r="N93" s="7" t="s">
        <v>389</v>
      </c>
      <c r="O93" s="24" t="s">
        <v>390</v>
      </c>
      <c r="P93" s="50" t="s">
        <v>391</v>
      </c>
      <c r="Q93" s="25" t="s">
        <v>43</v>
      </c>
      <c r="R93" s="14" t="s">
        <v>43</v>
      </c>
      <c r="S93" s="14" t="s">
        <v>33</v>
      </c>
      <c r="T93" s="14" t="s">
        <v>382</v>
      </c>
    </row>
    <row r="94" spans="1:21" hidden="1">
      <c r="A94" s="37">
        <v>93</v>
      </c>
      <c r="B94" s="17" t="s">
        <v>376</v>
      </c>
      <c r="C94" s="147">
        <v>46054</v>
      </c>
      <c r="D94" s="14" t="s">
        <v>24</v>
      </c>
      <c r="E94" s="14" t="s">
        <v>53</v>
      </c>
      <c r="F94" s="14" t="s">
        <v>392</v>
      </c>
      <c r="G94" s="14" t="s">
        <v>54</v>
      </c>
      <c r="H94" s="14" t="s">
        <v>55</v>
      </c>
      <c r="I94" s="17" t="s">
        <v>29</v>
      </c>
      <c r="J94" s="17">
        <v>4</v>
      </c>
      <c r="K94" s="14" t="s">
        <v>57</v>
      </c>
      <c r="L94" s="17" t="s">
        <v>31</v>
      </c>
      <c r="M94" s="14" t="s">
        <v>393</v>
      </c>
      <c r="N94" s="7" t="s">
        <v>389</v>
      </c>
      <c r="O94" s="24" t="s">
        <v>390</v>
      </c>
      <c r="P94" s="50" t="s">
        <v>391</v>
      </c>
      <c r="Q94" s="25" t="s">
        <v>43</v>
      </c>
      <c r="R94" s="14" t="s">
        <v>43</v>
      </c>
      <c r="S94" s="14" t="s">
        <v>33</v>
      </c>
      <c r="T94" s="14" t="s">
        <v>394</v>
      </c>
    </row>
    <row r="95" spans="1:21" hidden="1">
      <c r="A95" s="37">
        <v>94</v>
      </c>
      <c r="B95" s="17" t="s">
        <v>376</v>
      </c>
      <c r="C95" s="147">
        <v>46054</v>
      </c>
      <c r="D95" s="14" t="s">
        <v>24</v>
      </c>
      <c r="E95" s="14" t="s">
        <v>74</v>
      </c>
      <c r="F95" s="14" t="s">
        <v>26</v>
      </c>
      <c r="G95" s="14" t="s">
        <v>264</v>
      </c>
      <c r="H95" s="14" t="s">
        <v>356</v>
      </c>
      <c r="I95" s="17" t="s">
        <v>62</v>
      </c>
      <c r="J95" s="17">
        <v>6</v>
      </c>
      <c r="K95" s="14" t="s">
        <v>38</v>
      </c>
      <c r="L95" s="17" t="s">
        <v>31</v>
      </c>
      <c r="M95" s="14" t="s">
        <v>395</v>
      </c>
      <c r="N95" s="51" t="s">
        <v>396</v>
      </c>
      <c r="O95" s="52" t="s">
        <v>397</v>
      </c>
      <c r="P95" s="52" t="s">
        <v>398</v>
      </c>
      <c r="Q95" s="25" t="s">
        <v>43</v>
      </c>
      <c r="R95" s="14" t="s">
        <v>43</v>
      </c>
      <c r="S95" s="14" t="s">
        <v>399</v>
      </c>
      <c r="T95" s="14" t="s">
        <v>400</v>
      </c>
      <c r="U95" s="14" t="s">
        <v>43</v>
      </c>
    </row>
    <row r="96" spans="1:21" hidden="1">
      <c r="A96" s="37">
        <v>95</v>
      </c>
      <c r="B96" s="17" t="s">
        <v>376</v>
      </c>
      <c r="C96" s="147">
        <v>46055</v>
      </c>
      <c r="D96" s="14" t="s">
        <v>24</v>
      </c>
      <c r="E96" s="14" t="s">
        <v>59</v>
      </c>
      <c r="F96" s="14" t="s">
        <v>26</v>
      </c>
      <c r="G96" s="14" t="s">
        <v>401</v>
      </c>
      <c r="H96" s="14" t="s">
        <v>61</v>
      </c>
      <c r="I96" s="17" t="s">
        <v>29</v>
      </c>
      <c r="J96" s="17">
        <v>4</v>
      </c>
      <c r="K96" s="14" t="s">
        <v>30</v>
      </c>
      <c r="L96" s="17" t="s">
        <v>31</v>
      </c>
      <c r="M96" s="14" t="s">
        <v>402</v>
      </c>
      <c r="N96" s="51" t="s">
        <v>403</v>
      </c>
      <c r="O96" s="52" t="s">
        <v>404</v>
      </c>
      <c r="P96" s="50" t="s">
        <v>405</v>
      </c>
      <c r="Q96" s="94"/>
      <c r="R96" s="14" t="s">
        <v>33</v>
      </c>
      <c r="S96" s="14" t="s">
        <v>373</v>
      </c>
      <c r="T96" s="14" t="s">
        <v>406</v>
      </c>
    </row>
    <row r="97" spans="1:21" hidden="1">
      <c r="A97" s="37">
        <v>96</v>
      </c>
      <c r="B97" s="17" t="s">
        <v>376</v>
      </c>
      <c r="C97" s="147">
        <v>46055</v>
      </c>
      <c r="D97" s="14" t="s">
        <v>24</v>
      </c>
      <c r="E97" s="14" t="s">
        <v>407</v>
      </c>
      <c r="F97" s="14" t="s">
        <v>26</v>
      </c>
      <c r="G97" s="14" t="s">
        <v>408</v>
      </c>
      <c r="H97" s="14" t="s">
        <v>409</v>
      </c>
      <c r="I97" s="17" t="s">
        <v>29</v>
      </c>
      <c r="J97" s="17">
        <v>3</v>
      </c>
      <c r="K97" s="14" t="s">
        <v>38</v>
      </c>
      <c r="L97" s="17" t="s">
        <v>31</v>
      </c>
      <c r="M97" s="14" t="s">
        <v>410</v>
      </c>
      <c r="N97" s="51" t="s">
        <v>411</v>
      </c>
      <c r="O97" s="52" t="s">
        <v>412</v>
      </c>
      <c r="P97" s="52" t="s">
        <v>413</v>
      </c>
      <c r="Q97" s="25" t="s">
        <v>43</v>
      </c>
      <c r="R97" s="14" t="s">
        <v>33</v>
      </c>
      <c r="S97" s="14" t="s">
        <v>373</v>
      </c>
      <c r="T97" s="14" t="s">
        <v>414</v>
      </c>
    </row>
    <row r="98" spans="1:21" hidden="1">
      <c r="A98" s="37">
        <v>97</v>
      </c>
      <c r="B98" s="17" t="s">
        <v>376</v>
      </c>
      <c r="C98" s="147">
        <v>46055</v>
      </c>
      <c r="D98" s="14" t="s">
        <v>24</v>
      </c>
      <c r="E98" s="14" t="s">
        <v>92</v>
      </c>
      <c r="F98" s="14" t="s">
        <v>26</v>
      </c>
      <c r="G98" s="14" t="s">
        <v>27</v>
      </c>
      <c r="H98" s="14" t="s">
        <v>415</v>
      </c>
      <c r="I98" s="17" t="s">
        <v>62</v>
      </c>
      <c r="J98" s="17" t="s">
        <v>31</v>
      </c>
      <c r="K98" s="14" t="s">
        <v>416</v>
      </c>
      <c r="L98" s="17" t="s">
        <v>31</v>
      </c>
      <c r="M98" s="14" t="s">
        <v>417</v>
      </c>
      <c r="N98" s="51" t="s">
        <v>418</v>
      </c>
      <c r="O98" s="53" t="s">
        <v>419</v>
      </c>
      <c r="P98" s="52" t="s">
        <v>420</v>
      </c>
      <c r="Q98" s="95"/>
      <c r="R98" s="14" t="s">
        <v>33</v>
      </c>
      <c r="S98" s="14" t="s">
        <v>373</v>
      </c>
      <c r="T98" s="14" t="s">
        <v>421</v>
      </c>
    </row>
    <row r="99" spans="1:21" hidden="1">
      <c r="A99" s="37">
        <v>98</v>
      </c>
      <c r="B99" s="17" t="s">
        <v>376</v>
      </c>
      <c r="C99" s="147">
        <v>46055</v>
      </c>
      <c r="D99" s="14" t="s">
        <v>24</v>
      </c>
      <c r="E99" s="14" t="s">
        <v>289</v>
      </c>
      <c r="F99" s="14" t="s">
        <v>26</v>
      </c>
      <c r="G99" s="14" t="s">
        <v>290</v>
      </c>
      <c r="H99" s="14" t="s">
        <v>422</v>
      </c>
      <c r="I99" s="17" t="s">
        <v>29</v>
      </c>
      <c r="J99" s="17">
        <v>5</v>
      </c>
      <c r="K99" s="14" t="s">
        <v>30</v>
      </c>
      <c r="L99" s="17" t="s">
        <v>31</v>
      </c>
      <c r="M99" s="14" t="s">
        <v>423</v>
      </c>
      <c r="N99" s="51" t="s">
        <v>424</v>
      </c>
      <c r="O99" s="54" t="s">
        <v>425</v>
      </c>
      <c r="P99" s="52" t="s">
        <v>426</v>
      </c>
      <c r="Q99" s="95"/>
      <c r="R99" s="14" t="s">
        <v>33</v>
      </c>
      <c r="S99" s="14" t="s">
        <v>373</v>
      </c>
      <c r="T99" s="14" t="s">
        <v>427</v>
      </c>
    </row>
    <row r="100" spans="1:21" hidden="1">
      <c r="A100" s="37">
        <v>99</v>
      </c>
      <c r="B100" s="17" t="s">
        <v>376</v>
      </c>
      <c r="C100" s="147">
        <v>46056</v>
      </c>
      <c r="D100" s="14" t="s">
        <v>24</v>
      </c>
      <c r="E100" s="14" t="s">
        <v>428</v>
      </c>
      <c r="F100" s="14" t="s">
        <v>26</v>
      </c>
      <c r="G100" s="14" t="s">
        <v>429</v>
      </c>
      <c r="H100" s="14" t="s">
        <v>430</v>
      </c>
      <c r="I100" s="17" t="s">
        <v>29</v>
      </c>
      <c r="J100" s="17">
        <v>6</v>
      </c>
      <c r="K100" s="14" t="s">
        <v>30</v>
      </c>
      <c r="L100" s="17" t="s">
        <v>31</v>
      </c>
      <c r="M100" s="14" t="s">
        <v>431</v>
      </c>
      <c r="N100" s="51" t="s">
        <v>432</v>
      </c>
      <c r="O100" s="52" t="s">
        <v>433</v>
      </c>
      <c r="P100" s="52" t="s">
        <v>434</v>
      </c>
      <c r="Q100" s="95"/>
      <c r="R100" s="14" t="s">
        <v>33</v>
      </c>
      <c r="S100" s="14" t="s">
        <v>373</v>
      </c>
      <c r="T100" s="14" t="s">
        <v>435</v>
      </c>
    </row>
    <row r="101" spans="1:21" hidden="1">
      <c r="A101" s="37">
        <v>100</v>
      </c>
      <c r="B101" s="17" t="s">
        <v>376</v>
      </c>
      <c r="C101" s="147">
        <v>46056</v>
      </c>
      <c r="D101" s="14" t="s">
        <v>24</v>
      </c>
      <c r="E101" s="14" t="s">
        <v>428</v>
      </c>
      <c r="F101" s="14" t="s">
        <v>26</v>
      </c>
      <c r="G101" s="14" t="s">
        <v>429</v>
      </c>
      <c r="H101" s="14" t="s">
        <v>430</v>
      </c>
      <c r="I101" s="17" t="s">
        <v>29</v>
      </c>
      <c r="J101" s="17">
        <v>1</v>
      </c>
      <c r="K101" s="14" t="s">
        <v>34</v>
      </c>
      <c r="L101" s="17" t="s">
        <v>31</v>
      </c>
      <c r="M101" s="38" t="s">
        <v>436</v>
      </c>
      <c r="N101" s="49" t="s">
        <v>432</v>
      </c>
      <c r="O101" s="39" t="s">
        <v>433</v>
      </c>
      <c r="P101" s="39" t="s">
        <v>434</v>
      </c>
      <c r="Q101" s="30"/>
      <c r="R101" s="14" t="s">
        <v>43</v>
      </c>
      <c r="S101" s="14" t="s">
        <v>43</v>
      </c>
      <c r="T101" s="14" t="s">
        <v>437</v>
      </c>
      <c r="U101" s="14" t="s">
        <v>43</v>
      </c>
    </row>
    <row r="102" spans="1:21" hidden="1">
      <c r="A102" s="37">
        <v>101</v>
      </c>
      <c r="B102" s="17" t="s">
        <v>376</v>
      </c>
      <c r="C102" s="147">
        <v>46057</v>
      </c>
      <c r="D102" s="14" t="s">
        <v>24</v>
      </c>
      <c r="E102" s="14" t="s">
        <v>82</v>
      </c>
      <c r="F102" s="14" t="s">
        <v>26</v>
      </c>
      <c r="G102" s="14" t="s">
        <v>83</v>
      </c>
      <c r="H102" s="14" t="s">
        <v>84</v>
      </c>
      <c r="I102" s="17" t="s">
        <v>62</v>
      </c>
      <c r="J102" s="17" t="s">
        <v>31</v>
      </c>
      <c r="K102" s="14" t="s">
        <v>63</v>
      </c>
      <c r="L102" s="17" t="s">
        <v>31</v>
      </c>
      <c r="M102" s="14" t="s">
        <v>438</v>
      </c>
      <c r="N102" s="14" t="s">
        <v>439</v>
      </c>
      <c r="O102" s="24" t="s">
        <v>440</v>
      </c>
      <c r="P102" s="24" t="s">
        <v>441</v>
      </c>
      <c r="R102" s="14" t="s">
        <v>33</v>
      </c>
      <c r="S102" s="14" t="s">
        <v>373</v>
      </c>
    </row>
    <row r="103" spans="1:21" hidden="1">
      <c r="A103" s="37">
        <v>102</v>
      </c>
      <c r="B103" s="17" t="s">
        <v>376</v>
      </c>
      <c r="C103" s="147">
        <v>46057</v>
      </c>
      <c r="D103" s="14" t="s">
        <v>24</v>
      </c>
      <c r="E103" s="14" t="s">
        <v>82</v>
      </c>
      <c r="F103" s="14" t="s">
        <v>26</v>
      </c>
      <c r="G103" s="14" t="s">
        <v>83</v>
      </c>
      <c r="H103" s="14" t="s">
        <v>185</v>
      </c>
      <c r="I103" s="17" t="s">
        <v>62</v>
      </c>
      <c r="J103" s="17">
        <v>2</v>
      </c>
      <c r="K103" s="14" t="s">
        <v>90</v>
      </c>
      <c r="L103" s="17" t="s">
        <v>31</v>
      </c>
      <c r="M103" s="14" t="s">
        <v>442</v>
      </c>
      <c r="N103" s="14" t="s">
        <v>443</v>
      </c>
      <c r="O103" s="24" t="s">
        <v>444</v>
      </c>
      <c r="P103" s="24" t="s">
        <v>445</v>
      </c>
      <c r="R103" s="14" t="s">
        <v>33</v>
      </c>
      <c r="S103" s="14" t="s">
        <v>373</v>
      </c>
      <c r="T103" s="14" t="s">
        <v>435</v>
      </c>
    </row>
    <row r="104" spans="1:21" hidden="1">
      <c r="A104" s="37">
        <v>103</v>
      </c>
      <c r="B104" s="17" t="s">
        <v>376</v>
      </c>
      <c r="C104" s="147">
        <v>46057</v>
      </c>
      <c r="D104" s="14" t="s">
        <v>24</v>
      </c>
      <c r="E104" s="14" t="s">
        <v>198</v>
      </c>
      <c r="F104" s="14" t="s">
        <v>26</v>
      </c>
      <c r="G104" s="14" t="s">
        <v>446</v>
      </c>
      <c r="H104" s="14" t="s">
        <v>447</v>
      </c>
      <c r="I104" s="17" t="s">
        <v>29</v>
      </c>
      <c r="J104" s="17">
        <v>4</v>
      </c>
      <c r="K104" s="14" t="s">
        <v>30</v>
      </c>
      <c r="L104" s="17" t="s">
        <v>31</v>
      </c>
      <c r="M104" s="14" t="s">
        <v>448</v>
      </c>
      <c r="N104" s="14" t="s">
        <v>449</v>
      </c>
      <c r="O104" s="24" t="s">
        <v>450</v>
      </c>
      <c r="P104" s="24" t="s">
        <v>451</v>
      </c>
      <c r="R104" s="14" t="s">
        <v>33</v>
      </c>
      <c r="S104" s="14" t="s">
        <v>373</v>
      </c>
      <c r="T104" s="14" t="s">
        <v>435</v>
      </c>
    </row>
    <row r="105" spans="1:21" hidden="1">
      <c r="A105" s="37">
        <v>104</v>
      </c>
      <c r="B105" s="17" t="s">
        <v>376</v>
      </c>
      <c r="C105" s="147">
        <v>46058</v>
      </c>
      <c r="D105" s="14" t="s">
        <v>24</v>
      </c>
      <c r="E105" s="14" t="s">
        <v>82</v>
      </c>
      <c r="F105" s="14" t="s">
        <v>26</v>
      </c>
      <c r="G105" s="14" t="s">
        <v>83</v>
      </c>
      <c r="H105" s="14" t="s">
        <v>185</v>
      </c>
      <c r="I105" s="17" t="s">
        <v>62</v>
      </c>
      <c r="J105" s="17">
        <v>2</v>
      </c>
      <c r="K105" s="14" t="s">
        <v>141</v>
      </c>
      <c r="L105" s="17" t="s">
        <v>31</v>
      </c>
      <c r="M105" s="14" t="s">
        <v>452</v>
      </c>
      <c r="N105" s="49" t="s">
        <v>443</v>
      </c>
      <c r="O105" s="29">
        <v>1720685914</v>
      </c>
      <c r="P105" s="39" t="s">
        <v>445</v>
      </c>
      <c r="Q105" s="30"/>
      <c r="R105" s="14" t="s">
        <v>43</v>
      </c>
      <c r="S105" s="14" t="s">
        <v>43</v>
      </c>
      <c r="T105" s="14" t="s">
        <v>453</v>
      </c>
      <c r="U105" s="14" t="s">
        <v>43</v>
      </c>
    </row>
    <row r="106" spans="1:21" hidden="1">
      <c r="A106" s="37">
        <v>105</v>
      </c>
      <c r="B106" s="17" t="s">
        <v>376</v>
      </c>
      <c r="C106" s="147">
        <v>46058</v>
      </c>
      <c r="D106" s="14" t="s">
        <v>24</v>
      </c>
      <c r="E106" s="14" t="s">
        <v>454</v>
      </c>
      <c r="F106" s="14" t="s">
        <v>26</v>
      </c>
      <c r="G106" s="14" t="s">
        <v>455</v>
      </c>
      <c r="H106" s="14" t="s">
        <v>323</v>
      </c>
      <c r="I106" s="17" t="s">
        <v>62</v>
      </c>
      <c r="J106" s="17">
        <v>6</v>
      </c>
      <c r="K106" s="14" t="s">
        <v>90</v>
      </c>
      <c r="L106" s="17" t="s">
        <v>31</v>
      </c>
      <c r="M106" s="14" t="s">
        <v>456</v>
      </c>
      <c r="N106" s="49" t="s">
        <v>457</v>
      </c>
      <c r="O106" s="29">
        <v>1717984718</v>
      </c>
      <c r="P106" s="39" t="s">
        <v>458</v>
      </c>
      <c r="Q106" s="30"/>
      <c r="R106" s="14" t="s">
        <v>33</v>
      </c>
      <c r="S106" s="14" t="s">
        <v>373</v>
      </c>
    </row>
    <row r="107" spans="1:21" s="55" customFormat="1" ht="22.5" hidden="1">
      <c r="A107" s="37">
        <v>106</v>
      </c>
      <c r="B107" s="56" t="s">
        <v>376</v>
      </c>
      <c r="C107" s="155">
        <v>46058</v>
      </c>
      <c r="D107" s="55" t="s">
        <v>24</v>
      </c>
      <c r="E107" s="55" t="s">
        <v>82</v>
      </c>
      <c r="F107" s="14" t="s">
        <v>26</v>
      </c>
      <c r="G107" s="55" t="s">
        <v>83</v>
      </c>
      <c r="H107" s="55" t="s">
        <v>185</v>
      </c>
      <c r="I107" s="56" t="s">
        <v>62</v>
      </c>
      <c r="J107" s="56">
        <v>4</v>
      </c>
      <c r="K107" s="55" t="s">
        <v>90</v>
      </c>
      <c r="L107" s="56" t="s">
        <v>31</v>
      </c>
      <c r="M107" s="55" t="s">
        <v>459</v>
      </c>
      <c r="N107" s="57" t="s">
        <v>460</v>
      </c>
      <c r="O107" s="58" t="s">
        <v>461</v>
      </c>
      <c r="P107" s="59" t="s">
        <v>462</v>
      </c>
      <c r="Q107" s="96"/>
      <c r="R107" s="14" t="s">
        <v>33</v>
      </c>
      <c r="S107" s="14" t="s">
        <v>373</v>
      </c>
    </row>
    <row r="108" spans="1:21" hidden="1">
      <c r="A108" s="37">
        <v>107</v>
      </c>
      <c r="B108" s="17" t="s">
        <v>376</v>
      </c>
      <c r="C108" s="147">
        <v>46058</v>
      </c>
      <c r="D108" s="14" t="s">
        <v>24</v>
      </c>
      <c r="E108" s="14" t="s">
        <v>82</v>
      </c>
      <c r="F108" s="14" t="s">
        <v>26</v>
      </c>
      <c r="G108" s="14" t="s">
        <v>83</v>
      </c>
      <c r="H108" s="14" t="s">
        <v>185</v>
      </c>
      <c r="I108" s="17" t="s">
        <v>31</v>
      </c>
      <c r="J108" s="17" t="s">
        <v>62</v>
      </c>
      <c r="K108" s="14" t="s">
        <v>63</v>
      </c>
      <c r="L108" s="17" t="s">
        <v>31</v>
      </c>
      <c r="M108" s="14" t="s">
        <v>463</v>
      </c>
      <c r="N108" s="49" t="s">
        <v>464</v>
      </c>
      <c r="O108" s="60" t="s">
        <v>465</v>
      </c>
      <c r="P108" s="60">
        <v>994466099</v>
      </c>
      <c r="Q108" s="30"/>
      <c r="R108" s="14" t="s">
        <v>33</v>
      </c>
      <c r="S108" s="14" t="s">
        <v>373</v>
      </c>
      <c r="T108" s="14" t="s">
        <v>466</v>
      </c>
    </row>
    <row r="109" spans="1:21" ht="22.5" hidden="1">
      <c r="A109" s="37">
        <v>108</v>
      </c>
      <c r="B109" s="56" t="s">
        <v>376</v>
      </c>
      <c r="C109" s="155">
        <v>46059</v>
      </c>
      <c r="D109" s="55" t="s">
        <v>24</v>
      </c>
      <c r="E109" s="55" t="s">
        <v>74</v>
      </c>
      <c r="F109" s="14" t="s">
        <v>26</v>
      </c>
      <c r="G109" s="55" t="s">
        <v>264</v>
      </c>
      <c r="H109" s="55" t="s">
        <v>230</v>
      </c>
      <c r="I109" s="56" t="s">
        <v>29</v>
      </c>
      <c r="J109" s="56">
        <v>1</v>
      </c>
      <c r="K109" s="55" t="s">
        <v>34</v>
      </c>
      <c r="L109" s="56" t="s">
        <v>31</v>
      </c>
      <c r="M109" s="55" t="s">
        <v>467</v>
      </c>
      <c r="N109" s="32" t="s">
        <v>468</v>
      </c>
      <c r="O109" s="59" t="s">
        <v>469</v>
      </c>
      <c r="P109" s="59" t="s">
        <v>470</v>
      </c>
      <c r="Q109" s="96"/>
      <c r="R109" s="55" t="s">
        <v>43</v>
      </c>
      <c r="S109" s="55" t="s">
        <v>43</v>
      </c>
      <c r="T109" s="14" t="s">
        <v>471</v>
      </c>
    </row>
    <row r="110" spans="1:21" hidden="1">
      <c r="A110" s="37">
        <v>109</v>
      </c>
      <c r="B110" s="17" t="s">
        <v>376</v>
      </c>
      <c r="C110" s="147">
        <v>46059</v>
      </c>
      <c r="D110" s="14" t="s">
        <v>24</v>
      </c>
      <c r="E110" s="14" t="s">
        <v>138</v>
      </c>
      <c r="F110" s="14" t="s">
        <v>26</v>
      </c>
      <c r="G110" s="14" t="s">
        <v>118</v>
      </c>
      <c r="H110" s="14" t="s">
        <v>334</v>
      </c>
      <c r="I110" s="17" t="s">
        <v>37</v>
      </c>
      <c r="J110" s="17">
        <v>1</v>
      </c>
      <c r="K110" s="14" t="s">
        <v>38</v>
      </c>
      <c r="L110" s="17" t="s">
        <v>31</v>
      </c>
      <c r="M110" s="14" t="s">
        <v>472</v>
      </c>
      <c r="N110" s="32" t="s">
        <v>473</v>
      </c>
      <c r="O110" s="24" t="s">
        <v>474</v>
      </c>
      <c r="P110" s="24" t="s">
        <v>475</v>
      </c>
      <c r="Q110" s="25" t="s">
        <v>43</v>
      </c>
      <c r="R110" s="14" t="s">
        <v>43</v>
      </c>
      <c r="S110" s="14" t="s">
        <v>43</v>
      </c>
      <c r="T110" s="14" t="s">
        <v>476</v>
      </c>
      <c r="U110" s="14" t="s">
        <v>43</v>
      </c>
    </row>
    <row r="111" spans="1:21" hidden="1">
      <c r="A111" s="37">
        <v>110</v>
      </c>
      <c r="B111" s="17" t="s">
        <v>376</v>
      </c>
      <c r="C111" s="147">
        <v>46061</v>
      </c>
      <c r="D111" s="14" t="s">
        <v>24</v>
      </c>
      <c r="E111" s="14" t="s">
        <v>211</v>
      </c>
      <c r="F111" s="14" t="s">
        <v>26</v>
      </c>
      <c r="G111" s="14" t="s">
        <v>477</v>
      </c>
      <c r="H111" s="14" t="s">
        <v>478</v>
      </c>
      <c r="I111" s="17" t="s">
        <v>29</v>
      </c>
      <c r="J111" s="17">
        <v>5</v>
      </c>
      <c r="K111" s="14" t="s">
        <v>38</v>
      </c>
      <c r="L111" s="17" t="s">
        <v>31</v>
      </c>
      <c r="M111" s="14" t="s">
        <v>479</v>
      </c>
      <c r="N111" s="14" t="s">
        <v>480</v>
      </c>
      <c r="O111" s="24" t="s">
        <v>481</v>
      </c>
      <c r="P111" s="24" t="s">
        <v>482</v>
      </c>
      <c r="Q111" s="25" t="s">
        <v>43</v>
      </c>
      <c r="R111" s="14" t="s">
        <v>33</v>
      </c>
      <c r="S111" s="14" t="s">
        <v>373</v>
      </c>
      <c r="T111" s="14" t="s">
        <v>483</v>
      </c>
    </row>
    <row r="112" spans="1:21" hidden="1">
      <c r="A112" s="37">
        <v>111</v>
      </c>
      <c r="B112" s="17" t="s">
        <v>376</v>
      </c>
      <c r="C112" s="147">
        <v>46061</v>
      </c>
      <c r="D112" s="14" t="s">
        <v>24</v>
      </c>
      <c r="E112" s="14" t="s">
        <v>211</v>
      </c>
      <c r="F112" s="14" t="s">
        <v>26</v>
      </c>
      <c r="G112" s="14" t="s">
        <v>212</v>
      </c>
      <c r="H112" s="14" t="s">
        <v>384</v>
      </c>
      <c r="I112" s="17" t="s">
        <v>62</v>
      </c>
      <c r="J112" s="17" t="s">
        <v>31</v>
      </c>
      <c r="K112" s="14" t="s">
        <v>63</v>
      </c>
      <c r="L112" s="17" t="s">
        <v>31</v>
      </c>
      <c r="M112" s="14" t="s">
        <v>484</v>
      </c>
      <c r="N112" s="14" t="s">
        <v>485</v>
      </c>
      <c r="O112" s="24" t="s">
        <v>486</v>
      </c>
      <c r="P112" s="24" t="s">
        <v>487</v>
      </c>
      <c r="R112" s="14" t="s">
        <v>33</v>
      </c>
      <c r="S112" s="14" t="s">
        <v>373</v>
      </c>
      <c r="T112" s="14" t="s">
        <v>488</v>
      </c>
    </row>
    <row r="113" spans="1:21" hidden="1">
      <c r="A113" s="37">
        <v>112</v>
      </c>
      <c r="B113" s="17" t="s">
        <v>376</v>
      </c>
      <c r="C113" s="147">
        <v>46062</v>
      </c>
      <c r="D113" s="14" t="s">
        <v>24</v>
      </c>
      <c r="E113" s="14" t="s">
        <v>216</v>
      </c>
      <c r="F113" s="14" t="s">
        <v>392</v>
      </c>
      <c r="G113" s="14" t="s">
        <v>293</v>
      </c>
      <c r="H113" s="14" t="s">
        <v>188</v>
      </c>
      <c r="I113" s="17" t="s">
        <v>62</v>
      </c>
      <c r="J113" s="17">
        <v>5</v>
      </c>
      <c r="K113" s="14" t="s">
        <v>38</v>
      </c>
      <c r="L113" s="17" t="s">
        <v>31</v>
      </c>
      <c r="M113" s="14" t="s">
        <v>489</v>
      </c>
      <c r="N113" s="14" t="s">
        <v>490</v>
      </c>
      <c r="O113" s="24" t="s">
        <v>491</v>
      </c>
      <c r="P113" s="24" t="s">
        <v>492</v>
      </c>
      <c r="Q113" s="25" t="s">
        <v>43</v>
      </c>
      <c r="R113" s="14" t="s">
        <v>43</v>
      </c>
      <c r="S113" s="14" t="s">
        <v>43</v>
      </c>
      <c r="T113" s="14" t="s">
        <v>493</v>
      </c>
      <c r="U113" s="14" t="s">
        <v>43</v>
      </c>
    </row>
    <row r="114" spans="1:21" hidden="1">
      <c r="A114" s="37">
        <v>113</v>
      </c>
      <c r="B114" s="17" t="s">
        <v>376</v>
      </c>
      <c r="C114" s="147">
        <v>46062</v>
      </c>
      <c r="D114" s="14" t="s">
        <v>24</v>
      </c>
      <c r="E114" s="14" t="s">
        <v>289</v>
      </c>
      <c r="F114" s="14" t="s">
        <v>26</v>
      </c>
      <c r="G114" s="14" t="s">
        <v>290</v>
      </c>
      <c r="H114" s="14" t="s">
        <v>291</v>
      </c>
      <c r="I114" s="17" t="s">
        <v>62</v>
      </c>
      <c r="J114" s="17">
        <v>3</v>
      </c>
      <c r="K114" s="14" t="s">
        <v>90</v>
      </c>
      <c r="L114" s="17" t="s">
        <v>31</v>
      </c>
      <c r="M114" s="14" t="s">
        <v>494</v>
      </c>
      <c r="N114" s="14" t="s">
        <v>495</v>
      </c>
      <c r="O114" s="24" t="s">
        <v>496</v>
      </c>
      <c r="P114" s="24" t="s">
        <v>497</v>
      </c>
      <c r="R114" s="14" t="s">
        <v>33</v>
      </c>
      <c r="S114" s="14" t="s">
        <v>373</v>
      </c>
      <c r="T114" s="14" t="s">
        <v>488</v>
      </c>
    </row>
    <row r="115" spans="1:21" hidden="1">
      <c r="A115" s="37">
        <v>114</v>
      </c>
      <c r="B115" s="17" t="s">
        <v>376</v>
      </c>
      <c r="C115" s="147">
        <v>46062</v>
      </c>
      <c r="D115" s="14" t="s">
        <v>24</v>
      </c>
      <c r="E115" s="14" t="s">
        <v>289</v>
      </c>
      <c r="F115" s="14" t="s">
        <v>26</v>
      </c>
      <c r="G115" s="14" t="s">
        <v>290</v>
      </c>
      <c r="H115" s="14" t="s">
        <v>291</v>
      </c>
      <c r="I115" s="17" t="s">
        <v>62</v>
      </c>
      <c r="J115" s="17">
        <v>1</v>
      </c>
      <c r="K115" s="14" t="s">
        <v>63</v>
      </c>
      <c r="L115" s="17" t="s">
        <v>31</v>
      </c>
      <c r="M115" s="14" t="s">
        <v>498</v>
      </c>
      <c r="N115" s="14" t="s">
        <v>495</v>
      </c>
      <c r="O115" s="24" t="s">
        <v>496</v>
      </c>
      <c r="P115" s="24" t="s">
        <v>497</v>
      </c>
      <c r="R115" s="14" t="s">
        <v>33</v>
      </c>
      <c r="S115" s="14" t="s">
        <v>373</v>
      </c>
      <c r="T115" s="14" t="s">
        <v>488</v>
      </c>
    </row>
    <row r="116" spans="1:21">
      <c r="A116" s="37">
        <v>115</v>
      </c>
      <c r="B116" s="17" t="s">
        <v>376</v>
      </c>
      <c r="C116" s="147">
        <v>46062</v>
      </c>
      <c r="D116" s="14" t="s">
        <v>24</v>
      </c>
      <c r="E116" s="14" t="s">
        <v>96</v>
      </c>
      <c r="F116" s="14" t="s">
        <v>26</v>
      </c>
      <c r="G116" s="14" t="s">
        <v>144</v>
      </c>
      <c r="H116" s="14" t="s">
        <v>98</v>
      </c>
      <c r="I116" s="17" t="s">
        <v>62</v>
      </c>
      <c r="J116" s="17">
        <v>1</v>
      </c>
      <c r="K116" s="14" t="s">
        <v>141</v>
      </c>
      <c r="L116" s="17" t="s">
        <v>31</v>
      </c>
      <c r="M116" s="14" t="s">
        <v>499</v>
      </c>
      <c r="N116" s="14" t="s">
        <v>500</v>
      </c>
      <c r="O116" s="24" t="s">
        <v>501</v>
      </c>
      <c r="P116" s="24" t="s">
        <v>502</v>
      </c>
      <c r="R116" s="14" t="s">
        <v>33</v>
      </c>
      <c r="S116" s="14" t="s">
        <v>373</v>
      </c>
      <c r="T116" s="14" t="s">
        <v>503</v>
      </c>
    </row>
    <row r="117" spans="1:21" hidden="1">
      <c r="A117" s="37">
        <v>116</v>
      </c>
      <c r="B117" s="17" t="s">
        <v>376</v>
      </c>
      <c r="C117" s="147">
        <v>46062</v>
      </c>
      <c r="D117" s="14" t="s">
        <v>24</v>
      </c>
      <c r="E117" s="14" t="s">
        <v>504</v>
      </c>
      <c r="F117" s="14" t="s">
        <v>26</v>
      </c>
      <c r="G117" s="14" t="s">
        <v>83</v>
      </c>
      <c r="H117" s="14" t="s">
        <v>84</v>
      </c>
      <c r="I117" s="17" t="s">
        <v>29</v>
      </c>
      <c r="J117" s="17">
        <v>1</v>
      </c>
      <c r="K117" s="14" t="s">
        <v>38</v>
      </c>
      <c r="L117" s="17" t="s">
        <v>31</v>
      </c>
      <c r="M117" s="14" t="s">
        <v>505</v>
      </c>
      <c r="N117" s="14" t="s">
        <v>506</v>
      </c>
      <c r="O117" s="24" t="s">
        <v>507</v>
      </c>
      <c r="P117" s="24" t="s">
        <v>508</v>
      </c>
      <c r="Q117" s="25" t="s">
        <v>43</v>
      </c>
      <c r="R117" s="14" t="s">
        <v>33</v>
      </c>
      <c r="S117" s="14" t="s">
        <v>373</v>
      </c>
      <c r="T117" s="14" t="s">
        <v>509</v>
      </c>
    </row>
    <row r="118" spans="1:21" hidden="1">
      <c r="A118" s="37">
        <v>117</v>
      </c>
      <c r="B118" s="17" t="s">
        <v>376</v>
      </c>
      <c r="C118" s="147">
        <v>46063</v>
      </c>
      <c r="D118" s="14" t="s">
        <v>24</v>
      </c>
      <c r="E118" s="14" t="s">
        <v>510</v>
      </c>
      <c r="F118" s="14" t="s">
        <v>26</v>
      </c>
      <c r="G118" s="14" t="s">
        <v>310</v>
      </c>
      <c r="H118" s="14" t="s">
        <v>311</v>
      </c>
      <c r="I118" s="17" t="s">
        <v>62</v>
      </c>
      <c r="J118" s="17">
        <v>3</v>
      </c>
      <c r="K118" s="14" t="s">
        <v>90</v>
      </c>
      <c r="L118" s="17" t="s">
        <v>31</v>
      </c>
      <c r="M118" s="14" t="s">
        <v>511</v>
      </c>
      <c r="N118" s="14" t="s">
        <v>512</v>
      </c>
      <c r="O118" s="24" t="s">
        <v>513</v>
      </c>
      <c r="P118" s="24" t="s">
        <v>514</v>
      </c>
      <c r="R118" s="14" t="s">
        <v>33</v>
      </c>
      <c r="S118" s="14" t="s">
        <v>373</v>
      </c>
      <c r="T118" s="14" t="s">
        <v>515</v>
      </c>
    </row>
    <row r="119" spans="1:21" hidden="1">
      <c r="A119" s="37">
        <v>118</v>
      </c>
      <c r="B119" s="17" t="s">
        <v>376</v>
      </c>
      <c r="C119" s="147">
        <v>46063</v>
      </c>
      <c r="D119" s="14" t="s">
        <v>24</v>
      </c>
      <c r="E119" s="14" t="s">
        <v>340</v>
      </c>
      <c r="F119" s="14" t="s">
        <v>36</v>
      </c>
      <c r="G119" s="14" t="s">
        <v>341</v>
      </c>
      <c r="H119" s="14" t="s">
        <v>516</v>
      </c>
      <c r="I119" s="17" t="s">
        <v>37</v>
      </c>
      <c r="J119" s="17">
        <v>1</v>
      </c>
      <c r="K119" s="14" t="s">
        <v>38</v>
      </c>
      <c r="L119" s="17" t="s">
        <v>31</v>
      </c>
      <c r="M119" s="14" t="s">
        <v>517</v>
      </c>
      <c r="N119" s="14" t="s">
        <v>518</v>
      </c>
      <c r="O119" s="24" t="s">
        <v>519</v>
      </c>
      <c r="P119" s="24" t="s">
        <v>520</v>
      </c>
      <c r="Q119" s="25" t="s">
        <v>43</v>
      </c>
      <c r="R119" s="14" t="s">
        <v>33</v>
      </c>
      <c r="S119" s="14" t="s">
        <v>43</v>
      </c>
      <c r="T119" s="14" t="s">
        <v>521</v>
      </c>
      <c r="U119" s="14" t="s">
        <v>33</v>
      </c>
    </row>
    <row r="120" spans="1:21" hidden="1">
      <c r="A120" s="37">
        <v>119</v>
      </c>
      <c r="B120" s="17" t="s">
        <v>376</v>
      </c>
      <c r="C120" s="147">
        <v>46063</v>
      </c>
      <c r="D120" s="14" t="s">
        <v>24</v>
      </c>
      <c r="E120" s="14" t="s">
        <v>211</v>
      </c>
      <c r="F120" s="14" t="s">
        <v>26</v>
      </c>
      <c r="G120" s="14" t="s">
        <v>212</v>
      </c>
      <c r="H120" s="14" t="s">
        <v>522</v>
      </c>
      <c r="I120" s="17" t="s">
        <v>37</v>
      </c>
      <c r="J120" s="17">
        <v>1</v>
      </c>
      <c r="K120" s="14" t="s">
        <v>38</v>
      </c>
      <c r="L120" s="17" t="s">
        <v>31</v>
      </c>
      <c r="M120" s="14" t="s">
        <v>523</v>
      </c>
      <c r="N120" s="14" t="s">
        <v>524</v>
      </c>
      <c r="O120" s="24" t="s">
        <v>525</v>
      </c>
      <c r="P120" s="24" t="s">
        <v>526</v>
      </c>
      <c r="Q120" s="25" t="s">
        <v>43</v>
      </c>
      <c r="R120" s="14" t="s">
        <v>33</v>
      </c>
      <c r="S120" s="14" t="s">
        <v>373</v>
      </c>
      <c r="T120" s="14" t="s">
        <v>527</v>
      </c>
    </row>
    <row r="121" spans="1:21" hidden="1">
      <c r="A121" s="37">
        <v>120</v>
      </c>
      <c r="B121" s="17" t="s">
        <v>376</v>
      </c>
      <c r="C121" s="147">
        <v>46063</v>
      </c>
      <c r="D121" s="14" t="s">
        <v>24</v>
      </c>
      <c r="E121" s="14" t="s">
        <v>211</v>
      </c>
      <c r="F121" s="14" t="s">
        <v>392</v>
      </c>
      <c r="G121" s="14" t="s">
        <v>212</v>
      </c>
      <c r="H121" s="14" t="s">
        <v>522</v>
      </c>
      <c r="I121" s="17" t="s">
        <v>37</v>
      </c>
      <c r="J121" s="17">
        <v>1</v>
      </c>
      <c r="K121" s="14" t="s">
        <v>194</v>
      </c>
      <c r="L121" s="17" t="s">
        <v>31</v>
      </c>
      <c r="M121" s="14" t="s">
        <v>528</v>
      </c>
      <c r="N121" s="14" t="s">
        <v>524</v>
      </c>
      <c r="O121" s="24" t="s">
        <v>525</v>
      </c>
      <c r="P121" s="24" t="s">
        <v>526</v>
      </c>
      <c r="Q121" s="25" t="s">
        <v>43</v>
      </c>
      <c r="R121" s="14" t="s">
        <v>33</v>
      </c>
      <c r="S121" s="14" t="s">
        <v>373</v>
      </c>
      <c r="T121" s="14" t="s">
        <v>529</v>
      </c>
    </row>
    <row r="122" spans="1:21" hidden="1">
      <c r="A122" s="37">
        <v>121</v>
      </c>
      <c r="B122" s="17" t="s">
        <v>376</v>
      </c>
      <c r="C122" s="147">
        <v>46064</v>
      </c>
      <c r="D122" s="14" t="s">
        <v>24</v>
      </c>
      <c r="E122" s="14" t="s">
        <v>74</v>
      </c>
      <c r="F122" s="14" t="s">
        <v>26</v>
      </c>
      <c r="G122" s="14" t="s">
        <v>225</v>
      </c>
      <c r="H122" s="14" t="s">
        <v>281</v>
      </c>
      <c r="I122" s="17" t="s">
        <v>37</v>
      </c>
      <c r="J122" s="17">
        <v>1</v>
      </c>
      <c r="K122" s="14" t="s">
        <v>38</v>
      </c>
      <c r="L122" s="17" t="s">
        <v>31</v>
      </c>
      <c r="M122" s="14" t="s">
        <v>530</v>
      </c>
      <c r="N122" s="51" t="s">
        <v>531</v>
      </c>
      <c r="O122" s="51" t="s">
        <v>532</v>
      </c>
      <c r="P122" s="61" t="s">
        <v>533</v>
      </c>
      <c r="Q122" s="25" t="s">
        <v>43</v>
      </c>
      <c r="R122" s="14" t="s">
        <v>43</v>
      </c>
      <c r="S122" s="14" t="s">
        <v>43</v>
      </c>
      <c r="T122" s="14" t="s">
        <v>534</v>
      </c>
      <c r="U122" s="14" t="s">
        <v>43</v>
      </c>
    </row>
    <row r="123" spans="1:21" hidden="1">
      <c r="A123" s="37">
        <v>122</v>
      </c>
      <c r="B123" s="17" t="s">
        <v>376</v>
      </c>
      <c r="C123" s="147">
        <v>46064</v>
      </c>
      <c r="D123" s="14" t="s">
        <v>24</v>
      </c>
      <c r="E123" s="14" t="s">
        <v>74</v>
      </c>
      <c r="F123" s="14" t="s">
        <v>392</v>
      </c>
      <c r="G123" s="14" t="s">
        <v>264</v>
      </c>
      <c r="H123" s="14" t="s">
        <v>76</v>
      </c>
      <c r="I123" s="17" t="s">
        <v>62</v>
      </c>
      <c r="J123" s="17">
        <v>1</v>
      </c>
      <c r="K123" s="14" t="s">
        <v>38</v>
      </c>
      <c r="L123" s="17" t="s">
        <v>31</v>
      </c>
      <c r="M123" s="14" t="s">
        <v>535</v>
      </c>
      <c r="N123" s="51" t="s">
        <v>531</v>
      </c>
      <c r="O123" s="51" t="s">
        <v>532</v>
      </c>
      <c r="P123" s="51" t="s">
        <v>533</v>
      </c>
      <c r="Q123" s="25" t="s">
        <v>43</v>
      </c>
      <c r="R123" s="14" t="s">
        <v>43</v>
      </c>
      <c r="S123" s="14" t="s">
        <v>43</v>
      </c>
      <c r="T123" s="14" t="s">
        <v>534</v>
      </c>
      <c r="U123" s="14" t="s">
        <v>43</v>
      </c>
    </row>
    <row r="124" spans="1:21" hidden="1">
      <c r="A124" s="37">
        <v>123</v>
      </c>
      <c r="B124" s="17" t="s">
        <v>376</v>
      </c>
      <c r="C124" s="147">
        <v>46064</v>
      </c>
      <c r="D124" s="14" t="s">
        <v>24</v>
      </c>
      <c r="E124" s="14" t="s">
        <v>74</v>
      </c>
      <c r="F124" s="14" t="s">
        <v>26</v>
      </c>
      <c r="G124" s="14" t="s">
        <v>264</v>
      </c>
      <c r="H124" s="14" t="s">
        <v>76</v>
      </c>
      <c r="I124" s="17" t="s">
        <v>62</v>
      </c>
      <c r="J124" s="17">
        <v>1</v>
      </c>
      <c r="K124" s="14" t="s">
        <v>90</v>
      </c>
      <c r="L124" s="17" t="s">
        <v>31</v>
      </c>
      <c r="M124" s="14" t="s">
        <v>536</v>
      </c>
      <c r="N124" s="51" t="s">
        <v>531</v>
      </c>
      <c r="O124" s="51" t="s">
        <v>532</v>
      </c>
      <c r="P124" s="51" t="s">
        <v>533</v>
      </c>
      <c r="Q124" s="95"/>
      <c r="R124" s="14" t="s">
        <v>43</v>
      </c>
      <c r="S124" s="14" t="s">
        <v>43</v>
      </c>
      <c r="T124" s="14" t="s">
        <v>534</v>
      </c>
      <c r="U124" s="14" t="s">
        <v>43</v>
      </c>
    </row>
    <row r="125" spans="1:21" hidden="1">
      <c r="A125" s="37">
        <v>124</v>
      </c>
      <c r="B125" s="17" t="s">
        <v>376</v>
      </c>
      <c r="C125" s="147">
        <v>46065</v>
      </c>
      <c r="D125" s="14" t="s">
        <v>24</v>
      </c>
      <c r="E125" s="14" t="s">
        <v>537</v>
      </c>
      <c r="F125" s="14" t="s">
        <v>26</v>
      </c>
      <c r="G125" s="14" t="s">
        <v>290</v>
      </c>
      <c r="H125" s="14" t="s">
        <v>291</v>
      </c>
      <c r="I125" s="17" t="s">
        <v>29</v>
      </c>
      <c r="J125" s="17">
        <v>5</v>
      </c>
      <c r="K125" s="14" t="s">
        <v>63</v>
      </c>
      <c r="L125" s="17" t="s">
        <v>31</v>
      </c>
      <c r="M125" s="14" t="s">
        <v>538</v>
      </c>
      <c r="N125" s="14" t="s">
        <v>539</v>
      </c>
      <c r="O125" s="24" t="s">
        <v>540</v>
      </c>
      <c r="P125" s="24" t="s">
        <v>541</v>
      </c>
      <c r="R125" s="14" t="s">
        <v>33</v>
      </c>
      <c r="S125" s="14" t="s">
        <v>373</v>
      </c>
      <c r="T125" s="14" t="s">
        <v>542</v>
      </c>
    </row>
    <row r="126" spans="1:21" hidden="1">
      <c r="A126" s="37">
        <v>125</v>
      </c>
      <c r="B126" s="17" t="s">
        <v>376</v>
      </c>
      <c r="C126" s="147">
        <v>46066</v>
      </c>
      <c r="D126" s="14" t="s">
        <v>24</v>
      </c>
      <c r="E126" s="14" t="s">
        <v>543</v>
      </c>
      <c r="F126" s="14" t="s">
        <v>392</v>
      </c>
      <c r="G126" s="14" t="s">
        <v>544</v>
      </c>
      <c r="H126" s="14" t="s">
        <v>545</v>
      </c>
      <c r="I126" s="17" t="s">
        <v>62</v>
      </c>
      <c r="J126" s="17">
        <v>2</v>
      </c>
      <c r="K126" s="14" t="s">
        <v>38</v>
      </c>
      <c r="L126" s="17" t="s">
        <v>31</v>
      </c>
      <c r="M126" s="14" t="s">
        <v>546</v>
      </c>
      <c r="N126" s="51" t="s">
        <v>547</v>
      </c>
      <c r="O126" s="52">
        <v>918743477</v>
      </c>
      <c r="P126" s="54" t="s">
        <v>548</v>
      </c>
      <c r="Q126" s="25" t="s">
        <v>43</v>
      </c>
      <c r="R126" s="14" t="s">
        <v>43</v>
      </c>
      <c r="S126" s="14" t="s">
        <v>43</v>
      </c>
      <c r="T126" s="14" t="s">
        <v>549</v>
      </c>
      <c r="U126" s="14" t="s">
        <v>43</v>
      </c>
    </row>
    <row r="127" spans="1:21" hidden="1">
      <c r="A127" s="37">
        <v>126</v>
      </c>
      <c r="B127" s="17" t="s">
        <v>376</v>
      </c>
      <c r="C127" s="147">
        <v>46069</v>
      </c>
      <c r="D127" s="14" t="s">
        <v>24</v>
      </c>
      <c r="E127" s="14" t="s">
        <v>383</v>
      </c>
      <c r="F127" s="14" t="s">
        <v>26</v>
      </c>
      <c r="G127" s="14" t="s">
        <v>550</v>
      </c>
      <c r="H127" s="14" t="s">
        <v>316</v>
      </c>
      <c r="I127" s="17" t="s">
        <v>37</v>
      </c>
      <c r="J127" s="17">
        <v>4</v>
      </c>
      <c r="K127" s="14" t="s">
        <v>38</v>
      </c>
      <c r="L127" s="17" t="s">
        <v>31</v>
      </c>
      <c r="M127" s="14" t="s">
        <v>551</v>
      </c>
      <c r="N127" s="51" t="s">
        <v>552</v>
      </c>
      <c r="O127" s="52" t="s">
        <v>553</v>
      </c>
      <c r="P127" s="54" t="s">
        <v>554</v>
      </c>
      <c r="Q127" s="25" t="s">
        <v>43</v>
      </c>
      <c r="R127" s="14" t="s">
        <v>43</v>
      </c>
      <c r="S127" s="14" t="s">
        <v>33</v>
      </c>
      <c r="T127" s="14" t="s">
        <v>382</v>
      </c>
    </row>
    <row r="128" spans="1:21" hidden="1">
      <c r="A128" s="37">
        <v>127</v>
      </c>
      <c r="B128" s="17" t="s">
        <v>376</v>
      </c>
      <c r="C128" s="147">
        <v>46069</v>
      </c>
      <c r="D128" s="14" t="s">
        <v>24</v>
      </c>
      <c r="E128" s="14" t="s">
        <v>74</v>
      </c>
      <c r="F128" s="14" t="s">
        <v>26</v>
      </c>
      <c r="G128" s="14" t="s">
        <v>264</v>
      </c>
      <c r="H128" s="14" t="s">
        <v>230</v>
      </c>
      <c r="I128" s="17" t="s">
        <v>29</v>
      </c>
      <c r="J128" s="17">
        <v>1</v>
      </c>
      <c r="K128" s="14" t="s">
        <v>555</v>
      </c>
      <c r="L128" s="17" t="s">
        <v>31</v>
      </c>
      <c r="M128" s="14" t="s">
        <v>556</v>
      </c>
      <c r="N128" s="51" t="s">
        <v>557</v>
      </c>
      <c r="O128" s="52">
        <v>1752615219</v>
      </c>
      <c r="P128" s="54" t="s">
        <v>558</v>
      </c>
      <c r="Q128" s="97"/>
      <c r="R128" s="14" t="s">
        <v>43</v>
      </c>
      <c r="S128" s="14" t="s">
        <v>43</v>
      </c>
      <c r="T128" s="14" t="s">
        <v>437</v>
      </c>
      <c r="U128" s="14" t="s">
        <v>43</v>
      </c>
    </row>
    <row r="129" spans="1:21" hidden="1">
      <c r="A129" s="37">
        <v>128</v>
      </c>
      <c r="B129" s="17" t="s">
        <v>376</v>
      </c>
      <c r="C129" s="147">
        <v>46069</v>
      </c>
      <c r="D129" s="14" t="s">
        <v>24</v>
      </c>
      <c r="E129" s="14" t="s">
        <v>559</v>
      </c>
      <c r="F129" s="14" t="s">
        <v>26</v>
      </c>
      <c r="G129" s="14" t="s">
        <v>560</v>
      </c>
      <c r="H129" s="14" t="s">
        <v>561</v>
      </c>
      <c r="I129" s="17" t="s">
        <v>62</v>
      </c>
      <c r="J129" s="17">
        <v>6</v>
      </c>
      <c r="K129" s="14" t="s">
        <v>38</v>
      </c>
      <c r="L129" s="17" t="s">
        <v>31</v>
      </c>
      <c r="M129" s="14" t="s">
        <v>562</v>
      </c>
      <c r="N129" s="51" t="s">
        <v>563</v>
      </c>
      <c r="O129" s="52" t="s">
        <v>564</v>
      </c>
      <c r="P129" s="54" t="s">
        <v>565</v>
      </c>
      <c r="Q129" s="25" t="s">
        <v>43</v>
      </c>
      <c r="R129" s="14" t="s">
        <v>43</v>
      </c>
      <c r="S129" s="14" t="s">
        <v>33</v>
      </c>
      <c r="T129" s="14" t="s">
        <v>566</v>
      </c>
    </row>
    <row r="130" spans="1:21" hidden="1">
      <c r="A130" s="37">
        <v>129</v>
      </c>
      <c r="B130" s="17" t="s">
        <v>376</v>
      </c>
      <c r="C130" s="147">
        <v>46069</v>
      </c>
      <c r="D130" s="14" t="s">
        <v>24</v>
      </c>
      <c r="E130" s="14" t="s">
        <v>454</v>
      </c>
      <c r="F130" s="14" t="s">
        <v>26</v>
      </c>
      <c r="G130" s="14" t="s">
        <v>455</v>
      </c>
      <c r="H130" s="14" t="s">
        <v>323</v>
      </c>
      <c r="I130" s="17" t="s">
        <v>62</v>
      </c>
      <c r="J130" s="17" t="s">
        <v>31</v>
      </c>
      <c r="K130" s="14" t="s">
        <v>63</v>
      </c>
      <c r="L130" s="17" t="s">
        <v>31</v>
      </c>
      <c r="M130" s="14" t="s">
        <v>567</v>
      </c>
      <c r="N130" s="51" t="s">
        <v>568</v>
      </c>
      <c r="O130" s="52" t="s">
        <v>569</v>
      </c>
      <c r="P130" s="54" t="s">
        <v>570</v>
      </c>
      <c r="Q130" s="97"/>
      <c r="R130" s="14" t="s">
        <v>33</v>
      </c>
      <c r="S130" s="14" t="s">
        <v>373</v>
      </c>
      <c r="T130" s="14" t="s">
        <v>571</v>
      </c>
    </row>
    <row r="131" spans="1:21" hidden="1">
      <c r="A131" s="37">
        <v>130</v>
      </c>
      <c r="B131" s="17" t="s">
        <v>376</v>
      </c>
      <c r="C131" s="147">
        <v>46070</v>
      </c>
      <c r="D131" s="14" t="s">
        <v>24</v>
      </c>
      <c r="E131" s="14" t="s">
        <v>211</v>
      </c>
      <c r="F131" s="14" t="s">
        <v>26</v>
      </c>
      <c r="G131" s="14" t="s">
        <v>212</v>
      </c>
      <c r="H131" s="14" t="s">
        <v>430</v>
      </c>
      <c r="I131" s="17" t="s">
        <v>62</v>
      </c>
      <c r="J131" s="17">
        <v>1</v>
      </c>
      <c r="K131" s="14" t="s">
        <v>90</v>
      </c>
      <c r="L131" s="17" t="s">
        <v>31</v>
      </c>
      <c r="M131" s="41" t="s">
        <v>572</v>
      </c>
      <c r="N131" s="51" t="s">
        <v>573</v>
      </c>
      <c r="O131" s="52" t="s">
        <v>574</v>
      </c>
      <c r="P131" s="54" t="s">
        <v>575</v>
      </c>
      <c r="Q131" s="97"/>
      <c r="R131" s="14" t="s">
        <v>33</v>
      </c>
      <c r="S131" s="14" t="s">
        <v>373</v>
      </c>
      <c r="T131" s="14" t="s">
        <v>576</v>
      </c>
    </row>
    <row r="132" spans="1:21" hidden="1">
      <c r="A132" s="37">
        <v>131</v>
      </c>
      <c r="B132" s="17" t="s">
        <v>376</v>
      </c>
      <c r="C132" s="147">
        <v>46070</v>
      </c>
      <c r="D132" s="14" t="s">
        <v>24</v>
      </c>
      <c r="E132" s="14" t="s">
        <v>211</v>
      </c>
      <c r="F132" s="14" t="s">
        <v>26</v>
      </c>
      <c r="G132" s="14" t="s">
        <v>212</v>
      </c>
      <c r="H132" s="14" t="s">
        <v>430</v>
      </c>
      <c r="I132" s="17" t="s">
        <v>62</v>
      </c>
      <c r="J132" s="17" t="s">
        <v>31</v>
      </c>
      <c r="K132" s="14" t="s">
        <v>63</v>
      </c>
      <c r="L132" s="17" t="s">
        <v>31</v>
      </c>
      <c r="M132" s="14" t="s">
        <v>577</v>
      </c>
      <c r="N132" s="51" t="s">
        <v>573</v>
      </c>
      <c r="O132" s="52" t="s">
        <v>574</v>
      </c>
      <c r="P132" s="54" t="s">
        <v>575</v>
      </c>
      <c r="Q132" s="97"/>
      <c r="R132" s="14" t="s">
        <v>33</v>
      </c>
      <c r="S132" s="14" t="s">
        <v>373</v>
      </c>
      <c r="T132" s="14" t="s">
        <v>576</v>
      </c>
    </row>
    <row r="133" spans="1:21" hidden="1">
      <c r="A133" s="37">
        <v>132</v>
      </c>
      <c r="B133" s="17" t="s">
        <v>376</v>
      </c>
      <c r="C133" s="147">
        <v>46070</v>
      </c>
      <c r="D133" s="14" t="s">
        <v>24</v>
      </c>
      <c r="E133" s="14" t="s">
        <v>25</v>
      </c>
      <c r="F133" s="14" t="s">
        <v>26</v>
      </c>
      <c r="G133" s="14" t="s">
        <v>578</v>
      </c>
      <c r="H133" s="14" t="s">
        <v>28</v>
      </c>
      <c r="I133" s="17" t="s">
        <v>579</v>
      </c>
      <c r="J133" s="17" t="s">
        <v>31</v>
      </c>
      <c r="K133" s="14" t="s">
        <v>63</v>
      </c>
      <c r="L133" s="17" t="s">
        <v>31</v>
      </c>
      <c r="M133" s="14" t="s">
        <v>580</v>
      </c>
      <c r="N133" s="14" t="s">
        <v>581</v>
      </c>
      <c r="O133" s="24" t="s">
        <v>582</v>
      </c>
      <c r="P133" s="24" t="s">
        <v>583</v>
      </c>
      <c r="R133" s="14" t="s">
        <v>33</v>
      </c>
      <c r="S133" s="14" t="s">
        <v>373</v>
      </c>
      <c r="T133" s="14" t="s">
        <v>488</v>
      </c>
    </row>
    <row r="134" spans="1:21" hidden="1">
      <c r="A134" s="37">
        <v>133</v>
      </c>
      <c r="B134" s="17" t="s">
        <v>376</v>
      </c>
      <c r="C134" s="147">
        <v>46070</v>
      </c>
      <c r="D134" s="14" t="s">
        <v>24</v>
      </c>
      <c r="E134" s="14" t="s">
        <v>25</v>
      </c>
      <c r="F134" s="14" t="s">
        <v>26</v>
      </c>
      <c r="G134" s="14" t="s">
        <v>578</v>
      </c>
      <c r="H134" s="14" t="s">
        <v>28</v>
      </c>
      <c r="I134" s="17" t="s">
        <v>62</v>
      </c>
      <c r="J134" s="17">
        <v>5</v>
      </c>
      <c r="K134" s="14" t="s">
        <v>38</v>
      </c>
      <c r="L134" s="17" t="s">
        <v>31</v>
      </c>
      <c r="M134" s="14" t="s">
        <v>584</v>
      </c>
      <c r="N134" s="51" t="s">
        <v>585</v>
      </c>
      <c r="O134" s="52" t="s">
        <v>586</v>
      </c>
      <c r="P134" s="54" t="s">
        <v>587</v>
      </c>
      <c r="Q134" s="25" t="s">
        <v>43</v>
      </c>
      <c r="R134" s="14" t="s">
        <v>43</v>
      </c>
      <c r="S134" s="14" t="s">
        <v>33</v>
      </c>
      <c r="T134" s="14" t="s">
        <v>588</v>
      </c>
    </row>
    <row r="135" spans="1:21" hidden="1">
      <c r="A135" s="37">
        <v>134</v>
      </c>
      <c r="B135" s="17" t="s">
        <v>376</v>
      </c>
      <c r="C135" s="147">
        <v>46071</v>
      </c>
      <c r="D135" s="14" t="s">
        <v>24</v>
      </c>
      <c r="E135" s="14" t="s">
        <v>289</v>
      </c>
      <c r="F135" s="14" t="s">
        <v>26</v>
      </c>
      <c r="G135" s="14" t="s">
        <v>290</v>
      </c>
      <c r="H135" s="14" t="s">
        <v>589</v>
      </c>
      <c r="I135" s="17" t="s">
        <v>62</v>
      </c>
      <c r="J135" s="17">
        <v>5</v>
      </c>
      <c r="K135" s="14" t="s">
        <v>38</v>
      </c>
      <c r="L135" s="17" t="s">
        <v>31</v>
      </c>
      <c r="M135" s="14" t="s">
        <v>590</v>
      </c>
      <c r="N135" s="14" t="s">
        <v>591</v>
      </c>
      <c r="O135" s="24" t="s">
        <v>592</v>
      </c>
      <c r="P135" s="24" t="s">
        <v>593</v>
      </c>
      <c r="Q135" s="25" t="s">
        <v>43</v>
      </c>
      <c r="R135" s="14" t="s">
        <v>33</v>
      </c>
      <c r="S135" s="14" t="s">
        <v>373</v>
      </c>
      <c r="T135" s="14" t="s">
        <v>594</v>
      </c>
    </row>
    <row r="136" spans="1:21">
      <c r="A136" s="37">
        <v>135</v>
      </c>
      <c r="B136" s="17" t="s">
        <v>376</v>
      </c>
      <c r="C136" s="147">
        <v>46071</v>
      </c>
      <c r="D136" s="14" t="s">
        <v>24</v>
      </c>
      <c r="E136" s="14" t="s">
        <v>96</v>
      </c>
      <c r="F136" s="14" t="s">
        <v>26</v>
      </c>
      <c r="G136" s="14" t="s">
        <v>144</v>
      </c>
      <c r="H136" s="14" t="s">
        <v>98</v>
      </c>
      <c r="I136" s="17" t="s">
        <v>37</v>
      </c>
      <c r="J136" s="17">
        <v>6</v>
      </c>
      <c r="K136" s="14" t="s">
        <v>38</v>
      </c>
      <c r="L136" s="17" t="s">
        <v>31</v>
      </c>
      <c r="M136" s="14" t="s">
        <v>595</v>
      </c>
      <c r="N136" s="14" t="s">
        <v>500</v>
      </c>
      <c r="O136" s="24" t="s">
        <v>501</v>
      </c>
      <c r="P136" s="24" t="s">
        <v>502</v>
      </c>
      <c r="Q136" s="25" t="s">
        <v>43</v>
      </c>
      <c r="R136" s="14" t="s">
        <v>33</v>
      </c>
      <c r="S136" s="14" t="s">
        <v>373</v>
      </c>
      <c r="T136" s="14" t="s">
        <v>483</v>
      </c>
    </row>
    <row r="137" spans="1:21">
      <c r="A137" s="37">
        <v>136</v>
      </c>
      <c r="B137" s="17" t="s">
        <v>376</v>
      </c>
      <c r="C137" s="147">
        <v>46071</v>
      </c>
      <c r="D137" s="14" t="s">
        <v>24</v>
      </c>
      <c r="E137" s="14" t="s">
        <v>96</v>
      </c>
      <c r="F137" s="14" t="s">
        <v>36</v>
      </c>
      <c r="G137" s="14" t="s">
        <v>97</v>
      </c>
      <c r="H137" s="14" t="s">
        <v>596</v>
      </c>
      <c r="I137" s="17" t="s">
        <v>579</v>
      </c>
      <c r="J137" s="17">
        <v>1</v>
      </c>
      <c r="K137" s="14" t="s">
        <v>38</v>
      </c>
      <c r="L137" s="17" t="s">
        <v>31</v>
      </c>
      <c r="M137" s="14" t="s">
        <v>597</v>
      </c>
      <c r="N137" s="51" t="s">
        <v>598</v>
      </c>
      <c r="O137" s="52" t="s">
        <v>599</v>
      </c>
      <c r="P137" s="54" t="s">
        <v>600</v>
      </c>
      <c r="Q137" s="25" t="s">
        <v>43</v>
      </c>
      <c r="R137" s="14" t="s">
        <v>43</v>
      </c>
      <c r="S137" s="14" t="s">
        <v>33</v>
      </c>
      <c r="T137" s="14" t="s">
        <v>382</v>
      </c>
    </row>
    <row r="138" spans="1:21" hidden="1">
      <c r="A138" s="37">
        <v>137</v>
      </c>
      <c r="B138" s="17" t="s">
        <v>376</v>
      </c>
      <c r="C138" s="147">
        <v>46071</v>
      </c>
      <c r="D138" s="14" t="s">
        <v>24</v>
      </c>
      <c r="E138" s="14" t="s">
        <v>138</v>
      </c>
      <c r="F138" s="14" t="s">
        <v>26</v>
      </c>
      <c r="G138" s="14" t="s">
        <v>118</v>
      </c>
      <c r="H138" s="14" t="s">
        <v>295</v>
      </c>
      <c r="I138" s="17" t="s">
        <v>29</v>
      </c>
      <c r="J138" s="17">
        <v>1</v>
      </c>
      <c r="K138" s="14" t="s">
        <v>38</v>
      </c>
      <c r="L138" s="17" t="s">
        <v>31</v>
      </c>
      <c r="M138" s="14" t="s">
        <v>601</v>
      </c>
      <c r="N138" s="51" t="s">
        <v>602</v>
      </c>
      <c r="O138" s="52" t="s">
        <v>603</v>
      </c>
      <c r="P138" s="54" t="s">
        <v>604</v>
      </c>
      <c r="Q138" s="25" t="s">
        <v>43</v>
      </c>
      <c r="R138" s="14" t="s">
        <v>43</v>
      </c>
      <c r="S138" s="14" t="s">
        <v>33</v>
      </c>
      <c r="T138" s="14" t="s">
        <v>605</v>
      </c>
    </row>
    <row r="139" spans="1:21" hidden="1">
      <c r="A139" s="37">
        <v>138</v>
      </c>
      <c r="B139" s="17" t="s">
        <v>376</v>
      </c>
      <c r="C139" s="147">
        <v>46071</v>
      </c>
      <c r="D139" s="14" t="s">
        <v>24</v>
      </c>
      <c r="E139" s="14" t="s">
        <v>59</v>
      </c>
      <c r="F139" s="14" t="s">
        <v>26</v>
      </c>
      <c r="G139" s="14" t="s">
        <v>60</v>
      </c>
      <c r="H139" s="14" t="s">
        <v>606</v>
      </c>
      <c r="I139" s="17" t="s">
        <v>579</v>
      </c>
      <c r="J139" s="17">
        <v>1</v>
      </c>
      <c r="K139" s="14" t="s">
        <v>63</v>
      </c>
      <c r="L139" s="17" t="s">
        <v>31</v>
      </c>
      <c r="M139" s="14" t="s">
        <v>607</v>
      </c>
      <c r="N139" s="14" t="s">
        <v>608</v>
      </c>
      <c r="O139" s="24" t="s">
        <v>609</v>
      </c>
      <c r="P139" s="24" t="s">
        <v>610</v>
      </c>
      <c r="R139" s="14" t="s">
        <v>43</v>
      </c>
      <c r="S139" s="14" t="s">
        <v>43</v>
      </c>
      <c r="T139" s="14" t="s">
        <v>611</v>
      </c>
    </row>
    <row r="140" spans="1:21" hidden="1">
      <c r="A140" s="37">
        <v>139</v>
      </c>
      <c r="B140" s="17" t="s">
        <v>376</v>
      </c>
      <c r="C140" s="147">
        <v>46072</v>
      </c>
      <c r="D140" s="14" t="s">
        <v>24</v>
      </c>
      <c r="E140" s="14" t="s">
        <v>53</v>
      </c>
      <c r="F140" s="14" t="s">
        <v>26</v>
      </c>
      <c r="G140" s="14" t="s">
        <v>54</v>
      </c>
      <c r="H140" s="14" t="s">
        <v>238</v>
      </c>
      <c r="I140" s="17" t="s">
        <v>29</v>
      </c>
      <c r="J140" s="17">
        <v>6</v>
      </c>
      <c r="K140" s="14" t="s">
        <v>38</v>
      </c>
      <c r="L140" s="17" t="s">
        <v>31</v>
      </c>
      <c r="M140" s="14" t="s">
        <v>612</v>
      </c>
      <c r="N140" s="14" t="s">
        <v>613</v>
      </c>
      <c r="O140" s="24" t="s">
        <v>614</v>
      </c>
      <c r="P140" s="24" t="s">
        <v>615</v>
      </c>
      <c r="Q140" s="25" t="s">
        <v>43</v>
      </c>
      <c r="R140" s="14" t="s">
        <v>33</v>
      </c>
      <c r="S140" s="14" t="s">
        <v>373</v>
      </c>
      <c r="T140" s="14" t="s">
        <v>483</v>
      </c>
    </row>
    <row r="141" spans="1:21" hidden="1">
      <c r="A141" s="37">
        <v>140</v>
      </c>
      <c r="B141" s="17" t="s">
        <v>376</v>
      </c>
      <c r="C141" s="147">
        <v>46072</v>
      </c>
      <c r="D141" s="14" t="s">
        <v>24</v>
      </c>
      <c r="E141" s="14" t="s">
        <v>65</v>
      </c>
      <c r="F141" s="14" t="s">
        <v>26</v>
      </c>
      <c r="G141" s="14" t="s">
        <v>66</v>
      </c>
      <c r="H141" s="14" t="s">
        <v>616</v>
      </c>
      <c r="I141" s="17" t="s">
        <v>579</v>
      </c>
      <c r="J141" s="17" t="s">
        <v>31</v>
      </c>
      <c r="K141" s="14" t="s">
        <v>63</v>
      </c>
      <c r="L141" s="17" t="s">
        <v>31</v>
      </c>
      <c r="M141" s="14" t="s">
        <v>617</v>
      </c>
      <c r="N141" s="14" t="s">
        <v>618</v>
      </c>
      <c r="O141" s="24" t="s">
        <v>619</v>
      </c>
      <c r="P141" s="24" t="s">
        <v>620</v>
      </c>
      <c r="R141" s="14" t="s">
        <v>33</v>
      </c>
      <c r="S141" s="14" t="s">
        <v>373</v>
      </c>
      <c r="T141" s="14" t="s">
        <v>488</v>
      </c>
    </row>
    <row r="142" spans="1:21" hidden="1">
      <c r="A142" s="37">
        <v>141</v>
      </c>
      <c r="B142" s="17" t="s">
        <v>376</v>
      </c>
      <c r="C142" s="147">
        <v>46072</v>
      </c>
      <c r="D142" s="14" t="s">
        <v>24</v>
      </c>
      <c r="E142" s="14" t="s">
        <v>621</v>
      </c>
      <c r="F142" s="14" t="s">
        <v>26</v>
      </c>
      <c r="G142" s="14" t="s">
        <v>179</v>
      </c>
      <c r="H142" s="14" t="s">
        <v>622</v>
      </c>
      <c r="I142" s="17" t="s">
        <v>579</v>
      </c>
      <c r="J142" s="17" t="s">
        <v>31</v>
      </c>
      <c r="K142" s="14" t="s">
        <v>63</v>
      </c>
      <c r="L142" s="17" t="s">
        <v>31</v>
      </c>
      <c r="M142" s="14" t="s">
        <v>623</v>
      </c>
      <c r="N142" s="14" t="s">
        <v>624</v>
      </c>
      <c r="O142" s="24" t="s">
        <v>625</v>
      </c>
      <c r="P142" s="24" t="s">
        <v>626</v>
      </c>
      <c r="R142" s="14" t="s">
        <v>33</v>
      </c>
      <c r="S142" s="14" t="s">
        <v>373</v>
      </c>
      <c r="T142" s="14" t="s">
        <v>488</v>
      </c>
    </row>
    <row r="143" spans="1:21" hidden="1">
      <c r="A143" s="37">
        <v>142</v>
      </c>
      <c r="B143" s="17" t="s">
        <v>376</v>
      </c>
      <c r="C143" s="147">
        <v>46072</v>
      </c>
      <c r="D143" s="14" t="s">
        <v>24</v>
      </c>
      <c r="E143" s="14" t="s">
        <v>211</v>
      </c>
      <c r="F143" s="14" t="s">
        <v>26</v>
      </c>
      <c r="G143" s="14" t="s">
        <v>477</v>
      </c>
      <c r="H143" s="14" t="s">
        <v>627</v>
      </c>
      <c r="I143" s="17" t="s">
        <v>29</v>
      </c>
      <c r="J143" s="17">
        <v>5</v>
      </c>
      <c r="K143" s="14" t="s">
        <v>38</v>
      </c>
      <c r="L143" s="17" t="s">
        <v>31</v>
      </c>
      <c r="M143" s="14" t="s">
        <v>628</v>
      </c>
      <c r="N143" s="14" t="s">
        <v>629</v>
      </c>
      <c r="O143" s="24" t="s">
        <v>630</v>
      </c>
      <c r="P143" s="24" t="s">
        <v>631</v>
      </c>
      <c r="Q143" s="25" t="s">
        <v>43</v>
      </c>
      <c r="R143" s="14" t="s">
        <v>43</v>
      </c>
      <c r="S143" s="14" t="s">
        <v>43</v>
      </c>
      <c r="T143" s="14" t="s">
        <v>632</v>
      </c>
      <c r="U143" s="14" t="s">
        <v>43</v>
      </c>
    </row>
    <row r="144" spans="1:21" hidden="1">
      <c r="A144" s="37">
        <v>143</v>
      </c>
      <c r="B144" s="17" t="s">
        <v>376</v>
      </c>
      <c r="C144" s="147">
        <v>46072</v>
      </c>
      <c r="D144" s="14" t="s">
        <v>24</v>
      </c>
      <c r="E144" s="14" t="s">
        <v>211</v>
      </c>
      <c r="F144" s="14" t="s">
        <v>26</v>
      </c>
      <c r="G144" s="14" t="s">
        <v>477</v>
      </c>
      <c r="H144" s="14" t="s">
        <v>627</v>
      </c>
      <c r="I144" s="17" t="s">
        <v>29</v>
      </c>
      <c r="J144" s="17">
        <v>5</v>
      </c>
      <c r="K144" s="14" t="s">
        <v>30</v>
      </c>
      <c r="L144" s="17" t="s">
        <v>31</v>
      </c>
      <c r="M144" s="14" t="s">
        <v>633</v>
      </c>
      <c r="N144" s="14" t="s">
        <v>634</v>
      </c>
      <c r="O144" s="24" t="s">
        <v>631</v>
      </c>
      <c r="P144" s="24" t="s">
        <v>635</v>
      </c>
      <c r="Q144" s="25" t="s">
        <v>43</v>
      </c>
      <c r="R144" s="14" t="s">
        <v>43</v>
      </c>
      <c r="S144" s="14" t="s">
        <v>43</v>
      </c>
      <c r="T144" s="14" t="s">
        <v>632</v>
      </c>
      <c r="U144" s="14" t="s">
        <v>43</v>
      </c>
    </row>
    <row r="145" spans="1:21" hidden="1">
      <c r="A145" s="37">
        <v>144</v>
      </c>
      <c r="B145" s="17" t="s">
        <v>376</v>
      </c>
      <c r="C145" s="147">
        <v>46073</v>
      </c>
      <c r="D145" s="14" t="s">
        <v>24</v>
      </c>
      <c r="E145" s="14" t="s">
        <v>211</v>
      </c>
      <c r="F145" s="14" t="s">
        <v>26</v>
      </c>
      <c r="G145" s="14" t="s">
        <v>477</v>
      </c>
      <c r="H145" s="14" t="s">
        <v>627</v>
      </c>
      <c r="I145" s="17" t="s">
        <v>29</v>
      </c>
      <c r="J145" s="17">
        <v>4</v>
      </c>
      <c r="K145" s="14" t="s">
        <v>34</v>
      </c>
      <c r="L145" s="17" t="s">
        <v>31</v>
      </c>
      <c r="M145" s="14" t="s">
        <v>636</v>
      </c>
      <c r="N145" s="14" t="s">
        <v>634</v>
      </c>
      <c r="O145" s="24" t="s">
        <v>637</v>
      </c>
      <c r="P145" s="24" t="s">
        <v>635</v>
      </c>
      <c r="Q145" s="25" t="s">
        <v>43</v>
      </c>
      <c r="R145" s="14" t="s">
        <v>43</v>
      </c>
      <c r="S145" s="14" t="s">
        <v>43</v>
      </c>
      <c r="T145" s="14" t="s">
        <v>632</v>
      </c>
      <c r="U145" s="14" t="s">
        <v>43</v>
      </c>
    </row>
    <row r="146" spans="1:21" hidden="1">
      <c r="A146" s="37">
        <v>145</v>
      </c>
      <c r="B146" s="17" t="s">
        <v>376</v>
      </c>
      <c r="C146" s="147">
        <v>46073</v>
      </c>
      <c r="D146" s="14" t="s">
        <v>24</v>
      </c>
      <c r="E146" s="14" t="s">
        <v>638</v>
      </c>
      <c r="F146" s="14" t="s">
        <v>26</v>
      </c>
      <c r="G146" s="14" t="s">
        <v>639</v>
      </c>
      <c r="H146" s="14" t="s">
        <v>640</v>
      </c>
      <c r="I146" s="17" t="s">
        <v>62</v>
      </c>
      <c r="J146" s="17">
        <v>1</v>
      </c>
      <c r="K146" s="14" t="s">
        <v>90</v>
      </c>
      <c r="L146" s="17" t="s">
        <v>31</v>
      </c>
      <c r="M146" s="62" t="s">
        <v>641</v>
      </c>
      <c r="N146" s="14" t="s">
        <v>642</v>
      </c>
      <c r="O146" s="24" t="s">
        <v>643</v>
      </c>
      <c r="P146" s="24" t="s">
        <v>644</v>
      </c>
      <c r="Q146" s="25" t="s">
        <v>33</v>
      </c>
      <c r="R146" s="14" t="s">
        <v>33</v>
      </c>
      <c r="S146" s="14" t="s">
        <v>373</v>
      </c>
      <c r="T146" s="14" t="s">
        <v>435</v>
      </c>
    </row>
    <row r="147" spans="1:21" hidden="1">
      <c r="A147" s="37">
        <v>146</v>
      </c>
      <c r="B147" s="17" t="s">
        <v>376</v>
      </c>
      <c r="C147" s="147">
        <v>46074</v>
      </c>
      <c r="D147" s="14" t="s">
        <v>24</v>
      </c>
      <c r="E147" s="14" t="s">
        <v>128</v>
      </c>
      <c r="F147" s="14" t="s">
        <v>26</v>
      </c>
      <c r="G147" s="14" t="s">
        <v>129</v>
      </c>
      <c r="H147" s="14" t="s">
        <v>645</v>
      </c>
      <c r="I147" s="17" t="s">
        <v>37</v>
      </c>
      <c r="J147" s="17">
        <v>6</v>
      </c>
      <c r="K147" s="14" t="s">
        <v>194</v>
      </c>
      <c r="L147" s="17" t="s">
        <v>31</v>
      </c>
      <c r="M147" s="14" t="s">
        <v>646</v>
      </c>
      <c r="N147" s="14" t="s">
        <v>647</v>
      </c>
      <c r="O147" s="24" t="s">
        <v>648</v>
      </c>
      <c r="P147" s="24" t="s">
        <v>649</v>
      </c>
      <c r="Q147" s="25" t="s">
        <v>33</v>
      </c>
      <c r="R147" s="14" t="s">
        <v>33</v>
      </c>
      <c r="S147" s="14" t="s">
        <v>373</v>
      </c>
      <c r="T147" s="14" t="s">
        <v>414</v>
      </c>
    </row>
    <row r="148" spans="1:21" hidden="1">
      <c r="A148" s="37">
        <v>147</v>
      </c>
      <c r="B148" s="17" t="s">
        <v>376</v>
      </c>
      <c r="C148" s="147">
        <v>46074</v>
      </c>
      <c r="D148" s="14" t="s">
        <v>24</v>
      </c>
      <c r="E148" s="14" t="s">
        <v>349</v>
      </c>
      <c r="F148" s="14" t="s">
        <v>26</v>
      </c>
      <c r="G148" s="14" t="s">
        <v>93</v>
      </c>
      <c r="H148" s="14" t="s">
        <v>351</v>
      </c>
      <c r="I148" s="17" t="s">
        <v>62</v>
      </c>
      <c r="J148" s="17" t="s">
        <v>31</v>
      </c>
      <c r="K148" s="14" t="s">
        <v>63</v>
      </c>
      <c r="L148" s="17" t="s">
        <v>31</v>
      </c>
      <c r="M148" s="14" t="s">
        <v>650</v>
      </c>
      <c r="N148" s="14" t="s">
        <v>651</v>
      </c>
      <c r="O148" s="24" t="s">
        <v>652</v>
      </c>
      <c r="P148" s="24" t="s">
        <v>653</v>
      </c>
      <c r="Q148" s="25" t="s">
        <v>33</v>
      </c>
      <c r="R148" s="14" t="s">
        <v>33</v>
      </c>
      <c r="S148" s="14" t="s">
        <v>373</v>
      </c>
      <c r="T148" s="14" t="s">
        <v>488</v>
      </c>
    </row>
    <row r="149" spans="1:21" hidden="1">
      <c r="A149" s="37">
        <v>148</v>
      </c>
      <c r="B149" s="17" t="s">
        <v>376</v>
      </c>
      <c r="C149" s="147">
        <v>46075</v>
      </c>
      <c r="D149" s="14" t="s">
        <v>24</v>
      </c>
      <c r="E149" s="14" t="s">
        <v>289</v>
      </c>
      <c r="F149" s="14" t="s">
        <v>26</v>
      </c>
      <c r="G149" s="14" t="s">
        <v>290</v>
      </c>
      <c r="H149" s="14" t="s">
        <v>627</v>
      </c>
      <c r="I149" s="17" t="s">
        <v>62</v>
      </c>
      <c r="J149" s="17" t="s">
        <v>31</v>
      </c>
      <c r="K149" s="14" t="s">
        <v>63</v>
      </c>
      <c r="L149" s="17" t="s">
        <v>31</v>
      </c>
      <c r="M149" s="14" t="s">
        <v>654</v>
      </c>
      <c r="N149" s="14" t="s">
        <v>655</v>
      </c>
      <c r="O149" s="24" t="s">
        <v>656</v>
      </c>
      <c r="P149" s="107" t="s">
        <v>657</v>
      </c>
      <c r="Q149" s="25" t="s">
        <v>33</v>
      </c>
      <c r="R149" s="14" t="s">
        <v>33</v>
      </c>
      <c r="S149" s="14" t="s">
        <v>373</v>
      </c>
      <c r="T149" s="14" t="s">
        <v>488</v>
      </c>
    </row>
    <row r="150" spans="1:21" hidden="1">
      <c r="A150" s="37">
        <v>149</v>
      </c>
      <c r="B150" s="17" t="s">
        <v>376</v>
      </c>
      <c r="C150" s="147">
        <v>46075</v>
      </c>
      <c r="D150" s="14" t="s">
        <v>24</v>
      </c>
      <c r="E150" s="14" t="s">
        <v>178</v>
      </c>
      <c r="F150" s="14" t="s">
        <v>26</v>
      </c>
      <c r="G150" s="14" t="s">
        <v>179</v>
      </c>
      <c r="H150" s="14" t="s">
        <v>658</v>
      </c>
      <c r="I150" s="17" t="s">
        <v>37</v>
      </c>
      <c r="J150" s="17">
        <v>5</v>
      </c>
      <c r="K150" s="14" t="s">
        <v>38</v>
      </c>
      <c r="L150" s="17" t="s">
        <v>31</v>
      </c>
      <c r="M150" s="14" t="s">
        <v>659</v>
      </c>
      <c r="N150" s="14" t="s">
        <v>660</v>
      </c>
      <c r="O150" s="24" t="s">
        <v>661</v>
      </c>
      <c r="P150" s="107" t="s">
        <v>662</v>
      </c>
      <c r="Q150" s="25" t="s">
        <v>43</v>
      </c>
      <c r="R150" s="14" t="s">
        <v>43</v>
      </c>
      <c r="S150" s="14" t="s">
        <v>33</v>
      </c>
      <c r="T150" s="14" t="s">
        <v>382</v>
      </c>
    </row>
    <row r="151" spans="1:21" hidden="1">
      <c r="A151" s="37">
        <v>150</v>
      </c>
      <c r="B151" s="17" t="s">
        <v>376</v>
      </c>
      <c r="C151" s="147">
        <v>46075</v>
      </c>
      <c r="D151" s="14" t="s">
        <v>24</v>
      </c>
      <c r="E151" s="14" t="s">
        <v>216</v>
      </c>
      <c r="F151" s="14" t="s">
        <v>26</v>
      </c>
      <c r="G151" s="14" t="s">
        <v>293</v>
      </c>
      <c r="H151" s="14" t="s">
        <v>188</v>
      </c>
      <c r="I151" s="17" t="s">
        <v>37</v>
      </c>
      <c r="J151" s="17">
        <v>5</v>
      </c>
      <c r="K151" s="14" t="s">
        <v>196</v>
      </c>
      <c r="L151" s="17" t="s">
        <v>31</v>
      </c>
      <c r="M151" s="14" t="s">
        <v>663</v>
      </c>
      <c r="N151" s="14" t="s">
        <v>664</v>
      </c>
      <c r="O151" s="24" t="s">
        <v>491</v>
      </c>
      <c r="P151" s="107" t="s">
        <v>492</v>
      </c>
      <c r="Q151" s="25" t="s">
        <v>33</v>
      </c>
      <c r="R151" s="14" t="s">
        <v>33</v>
      </c>
      <c r="S151" s="14" t="s">
        <v>373</v>
      </c>
      <c r="T151" s="14" t="s">
        <v>665</v>
      </c>
    </row>
    <row r="152" spans="1:21" hidden="1">
      <c r="A152" s="37">
        <v>151</v>
      </c>
      <c r="B152" s="17" t="s">
        <v>376</v>
      </c>
      <c r="C152" s="147">
        <v>46076</v>
      </c>
      <c r="D152" s="14" t="s">
        <v>24</v>
      </c>
      <c r="E152" s="14" t="s">
        <v>559</v>
      </c>
      <c r="F152" s="14" t="s">
        <v>26</v>
      </c>
      <c r="G152" s="14" t="s">
        <v>560</v>
      </c>
      <c r="H152" s="14" t="s">
        <v>666</v>
      </c>
      <c r="I152" s="17" t="s">
        <v>62</v>
      </c>
      <c r="J152" s="17">
        <v>5</v>
      </c>
      <c r="K152" s="14" t="s">
        <v>38</v>
      </c>
      <c r="L152" s="17" t="s">
        <v>31</v>
      </c>
      <c r="M152" s="14" t="s">
        <v>667</v>
      </c>
      <c r="N152" s="14" t="s">
        <v>668</v>
      </c>
      <c r="O152" s="24" t="s">
        <v>669</v>
      </c>
      <c r="P152" s="107" t="s">
        <v>670</v>
      </c>
      <c r="Q152" s="25" t="s">
        <v>43</v>
      </c>
      <c r="R152" s="14" t="s">
        <v>33</v>
      </c>
      <c r="S152" s="14" t="s">
        <v>373</v>
      </c>
      <c r="T152" s="14" t="s">
        <v>488</v>
      </c>
    </row>
    <row r="153" spans="1:21" hidden="1">
      <c r="A153" s="37">
        <v>152</v>
      </c>
      <c r="B153" s="17" t="s">
        <v>376</v>
      </c>
      <c r="C153" s="147">
        <v>46076</v>
      </c>
      <c r="D153" s="14" t="s">
        <v>24</v>
      </c>
      <c r="E153" s="69" t="s">
        <v>211</v>
      </c>
      <c r="F153" s="14" t="s">
        <v>26</v>
      </c>
      <c r="G153" s="14" t="s">
        <v>477</v>
      </c>
      <c r="H153" s="14" t="s">
        <v>522</v>
      </c>
      <c r="I153" s="17" t="s">
        <v>62</v>
      </c>
      <c r="J153" s="17" t="s">
        <v>31</v>
      </c>
      <c r="K153" s="14" t="s">
        <v>63</v>
      </c>
      <c r="L153" s="17" t="s">
        <v>31</v>
      </c>
      <c r="M153" s="42" t="s">
        <v>671</v>
      </c>
      <c r="N153" s="14" t="s">
        <v>672</v>
      </c>
      <c r="O153" s="24" t="s">
        <v>673</v>
      </c>
      <c r="P153" s="107" t="s">
        <v>674</v>
      </c>
      <c r="Q153" s="25" t="s">
        <v>33</v>
      </c>
      <c r="R153" s="14" t="s">
        <v>33</v>
      </c>
      <c r="S153" s="14" t="s">
        <v>373</v>
      </c>
      <c r="T153" s="14" t="s">
        <v>488</v>
      </c>
    </row>
    <row r="154" spans="1:21" hidden="1">
      <c r="A154" s="37">
        <v>153</v>
      </c>
      <c r="B154" s="17" t="s">
        <v>376</v>
      </c>
      <c r="C154" s="147">
        <v>46076</v>
      </c>
      <c r="D154" s="14" t="s">
        <v>24</v>
      </c>
      <c r="E154" s="14" t="s">
        <v>675</v>
      </c>
      <c r="F154" s="14" t="s">
        <v>26</v>
      </c>
      <c r="G154" s="14" t="s">
        <v>676</v>
      </c>
      <c r="H154" s="14" t="s">
        <v>344</v>
      </c>
      <c r="I154" s="17" t="s">
        <v>29</v>
      </c>
      <c r="J154" s="17">
        <v>5</v>
      </c>
      <c r="K154" s="14" t="s">
        <v>57</v>
      </c>
      <c r="L154" s="17" t="s">
        <v>31</v>
      </c>
      <c r="M154" s="69" t="s">
        <v>677</v>
      </c>
      <c r="N154" s="14" t="s">
        <v>678</v>
      </c>
      <c r="O154" s="24" t="s">
        <v>679</v>
      </c>
      <c r="P154" s="24" t="s">
        <v>680</v>
      </c>
      <c r="Q154" s="25" t="s">
        <v>33</v>
      </c>
      <c r="R154" s="14" t="s">
        <v>33</v>
      </c>
      <c r="S154" s="14" t="s">
        <v>373</v>
      </c>
    </row>
    <row r="155" spans="1:21" hidden="1">
      <c r="A155" s="37">
        <v>154</v>
      </c>
      <c r="B155" s="17" t="s">
        <v>376</v>
      </c>
      <c r="C155" s="147">
        <v>46077</v>
      </c>
      <c r="D155" s="14" t="s">
        <v>24</v>
      </c>
      <c r="E155" s="14" t="s">
        <v>138</v>
      </c>
      <c r="F155" s="14" t="s">
        <v>26</v>
      </c>
      <c r="G155" s="14" t="s">
        <v>139</v>
      </c>
      <c r="H155" s="14" t="s">
        <v>681</v>
      </c>
      <c r="I155" s="17" t="s">
        <v>62</v>
      </c>
      <c r="J155" s="17" t="s">
        <v>31</v>
      </c>
      <c r="K155" s="14" t="s">
        <v>63</v>
      </c>
      <c r="L155" s="17" t="s">
        <v>31</v>
      </c>
      <c r="M155" s="14" t="s">
        <v>682</v>
      </c>
      <c r="N155" s="14" t="s">
        <v>683</v>
      </c>
      <c r="O155" s="24" t="s">
        <v>684</v>
      </c>
      <c r="P155" s="24" t="s">
        <v>685</v>
      </c>
      <c r="Q155" s="25" t="s">
        <v>33</v>
      </c>
      <c r="R155" s="14" t="s">
        <v>33</v>
      </c>
      <c r="S155" s="14" t="s">
        <v>373</v>
      </c>
      <c r="T155" s="14" t="s">
        <v>488</v>
      </c>
    </row>
    <row r="156" spans="1:21" hidden="1">
      <c r="A156" s="37">
        <v>155</v>
      </c>
      <c r="B156" s="17" t="s">
        <v>376</v>
      </c>
      <c r="C156" s="147">
        <v>46077</v>
      </c>
      <c r="D156" s="14" t="s">
        <v>24</v>
      </c>
      <c r="E156" s="14" t="s">
        <v>74</v>
      </c>
      <c r="F156" s="14" t="s">
        <v>26</v>
      </c>
      <c r="G156" s="14" t="s">
        <v>225</v>
      </c>
      <c r="H156" s="14" t="s">
        <v>316</v>
      </c>
      <c r="I156" s="17" t="s">
        <v>62</v>
      </c>
      <c r="J156" s="17" t="s">
        <v>31</v>
      </c>
      <c r="K156" s="14" t="s">
        <v>63</v>
      </c>
      <c r="L156" s="17" t="s">
        <v>31</v>
      </c>
      <c r="M156" s="14" t="s">
        <v>686</v>
      </c>
      <c r="N156" s="14" t="s">
        <v>687</v>
      </c>
      <c r="O156" s="24" t="s">
        <v>688</v>
      </c>
      <c r="P156" s="24" t="s">
        <v>689</v>
      </c>
      <c r="Q156" s="25" t="s">
        <v>33</v>
      </c>
      <c r="R156" s="14" t="s">
        <v>33</v>
      </c>
      <c r="S156" s="14" t="s">
        <v>373</v>
      </c>
      <c r="T156" s="14" t="s">
        <v>488</v>
      </c>
    </row>
    <row r="157" spans="1:21">
      <c r="A157" s="37">
        <v>156</v>
      </c>
      <c r="B157" s="17" t="s">
        <v>376</v>
      </c>
      <c r="C157" s="147">
        <v>46078</v>
      </c>
      <c r="D157" s="14" t="s">
        <v>24</v>
      </c>
      <c r="E157" s="14" t="s">
        <v>96</v>
      </c>
      <c r="F157" s="14" t="s">
        <v>26</v>
      </c>
      <c r="G157" s="14" t="s">
        <v>97</v>
      </c>
      <c r="H157" s="14" t="s">
        <v>140</v>
      </c>
      <c r="I157" s="17" t="s">
        <v>62</v>
      </c>
      <c r="J157" s="17" t="s">
        <v>31</v>
      </c>
      <c r="K157" s="14" t="s">
        <v>63</v>
      </c>
      <c r="L157" s="17" t="s">
        <v>31</v>
      </c>
      <c r="M157" s="14" t="s">
        <v>690</v>
      </c>
      <c r="N157" s="14" t="s">
        <v>691</v>
      </c>
      <c r="O157" s="24" t="s">
        <v>692</v>
      </c>
      <c r="P157" s="24" t="s">
        <v>693</v>
      </c>
      <c r="R157" s="14" t="s">
        <v>33</v>
      </c>
      <c r="S157" s="14" t="s">
        <v>373</v>
      </c>
      <c r="T157" s="14" t="s">
        <v>488</v>
      </c>
    </row>
    <row r="158" spans="1:21">
      <c r="A158" s="37">
        <v>157</v>
      </c>
      <c r="B158" s="17" t="s">
        <v>376</v>
      </c>
      <c r="C158" s="148">
        <v>46078</v>
      </c>
      <c r="D158" s="14" t="s">
        <v>24</v>
      </c>
      <c r="E158" s="14" t="s">
        <v>96</v>
      </c>
      <c r="F158" s="14" t="s">
        <v>26</v>
      </c>
      <c r="G158" s="14" t="s">
        <v>97</v>
      </c>
      <c r="H158" s="14" t="s">
        <v>596</v>
      </c>
      <c r="I158" s="17" t="s">
        <v>62</v>
      </c>
      <c r="J158" s="17" t="s">
        <v>31</v>
      </c>
      <c r="K158" s="14" t="s">
        <v>63</v>
      </c>
      <c r="L158" s="17" t="s">
        <v>31</v>
      </c>
      <c r="M158" s="14" t="s">
        <v>694</v>
      </c>
      <c r="N158" s="14" t="s">
        <v>695</v>
      </c>
      <c r="O158" s="24" t="s">
        <v>696</v>
      </c>
      <c r="P158" s="24" t="s">
        <v>697</v>
      </c>
      <c r="R158" s="14" t="s">
        <v>33</v>
      </c>
      <c r="S158" s="14" t="s">
        <v>373</v>
      </c>
      <c r="T158" s="14" t="s">
        <v>488</v>
      </c>
    </row>
    <row r="159" spans="1:21" hidden="1">
      <c r="A159" s="37">
        <v>158</v>
      </c>
      <c r="B159" s="17" t="s">
        <v>376</v>
      </c>
      <c r="C159" s="147">
        <v>46078</v>
      </c>
      <c r="D159" s="14" t="s">
        <v>24</v>
      </c>
      <c r="E159" s="14" t="s">
        <v>149</v>
      </c>
      <c r="F159" s="14" t="s">
        <v>26</v>
      </c>
      <c r="G159" s="69" t="s">
        <v>698</v>
      </c>
      <c r="H159" s="14" t="s">
        <v>151</v>
      </c>
      <c r="I159" s="17" t="s">
        <v>29</v>
      </c>
      <c r="J159" s="17">
        <v>5</v>
      </c>
      <c r="K159" s="14" t="s">
        <v>38</v>
      </c>
      <c r="L159" s="17" t="s">
        <v>31</v>
      </c>
      <c r="M159" s="14" t="s">
        <v>699</v>
      </c>
      <c r="N159" s="14" t="s">
        <v>700</v>
      </c>
      <c r="O159" s="24" t="s">
        <v>701</v>
      </c>
      <c r="P159" s="24" t="s">
        <v>702</v>
      </c>
      <c r="Q159" s="25" t="s">
        <v>43</v>
      </c>
      <c r="R159" s="14" t="s">
        <v>33</v>
      </c>
      <c r="S159" s="14" t="s">
        <v>373</v>
      </c>
      <c r="T159" s="14" t="s">
        <v>488</v>
      </c>
    </row>
    <row r="160" spans="1:21" hidden="1">
      <c r="A160" s="37">
        <v>159</v>
      </c>
      <c r="B160" s="17" t="s">
        <v>376</v>
      </c>
      <c r="C160" s="147">
        <v>46078</v>
      </c>
      <c r="D160" s="14" t="s">
        <v>24</v>
      </c>
      <c r="E160" s="14" t="s">
        <v>703</v>
      </c>
      <c r="F160" s="14" t="s">
        <v>26</v>
      </c>
      <c r="G160" s="14" t="s">
        <v>75</v>
      </c>
      <c r="H160" s="14" t="s">
        <v>356</v>
      </c>
      <c r="I160" s="17" t="s">
        <v>29</v>
      </c>
      <c r="J160" s="17">
        <v>6</v>
      </c>
      <c r="K160" s="14" t="s">
        <v>38</v>
      </c>
      <c r="L160" s="17" t="s">
        <v>31</v>
      </c>
      <c r="M160" s="14" t="s">
        <v>704</v>
      </c>
      <c r="N160" s="14" t="s">
        <v>705</v>
      </c>
      <c r="O160" s="24" t="s">
        <v>706</v>
      </c>
      <c r="P160" s="24" t="s">
        <v>707</v>
      </c>
      <c r="Q160" s="25" t="s">
        <v>43</v>
      </c>
      <c r="R160" s="14" t="s">
        <v>33</v>
      </c>
      <c r="S160" s="14" t="s">
        <v>373</v>
      </c>
      <c r="T160" s="14" t="s">
        <v>708</v>
      </c>
    </row>
    <row r="161" spans="1:21" hidden="1">
      <c r="A161" s="37">
        <v>160</v>
      </c>
      <c r="B161" s="17" t="s">
        <v>376</v>
      </c>
      <c r="C161" s="147">
        <v>46078</v>
      </c>
      <c r="D161" s="14" t="s">
        <v>24</v>
      </c>
      <c r="E161" s="14" t="s">
        <v>504</v>
      </c>
      <c r="F161" s="14" t="s">
        <v>26</v>
      </c>
      <c r="G161" s="14" t="s">
        <v>83</v>
      </c>
      <c r="H161" s="14" t="s">
        <v>84</v>
      </c>
      <c r="I161" s="17" t="s">
        <v>29</v>
      </c>
      <c r="J161" s="17">
        <v>1</v>
      </c>
      <c r="K161" s="14" t="s">
        <v>38</v>
      </c>
      <c r="L161" s="17" t="s">
        <v>31</v>
      </c>
      <c r="M161" s="14" t="s">
        <v>709</v>
      </c>
      <c r="N161" s="14" t="s">
        <v>710</v>
      </c>
      <c r="O161" s="24" t="s">
        <v>711</v>
      </c>
      <c r="P161" s="24" t="s">
        <v>712</v>
      </c>
      <c r="Q161" s="25" t="s">
        <v>43</v>
      </c>
      <c r="R161" s="14" t="s">
        <v>43</v>
      </c>
      <c r="S161" s="14" t="s">
        <v>43</v>
      </c>
      <c r="T161" s="14" t="s">
        <v>713</v>
      </c>
      <c r="U161" s="14" t="s">
        <v>43</v>
      </c>
    </row>
    <row r="162" spans="1:21" hidden="1">
      <c r="A162" s="37">
        <v>161</v>
      </c>
      <c r="B162" s="17" t="s">
        <v>376</v>
      </c>
      <c r="C162" s="147">
        <v>46078</v>
      </c>
      <c r="D162" s="14" t="s">
        <v>24</v>
      </c>
      <c r="E162" s="14" t="s">
        <v>74</v>
      </c>
      <c r="F162" s="14" t="s">
        <v>26</v>
      </c>
      <c r="G162" s="14" t="s">
        <v>225</v>
      </c>
      <c r="H162" s="14" t="s">
        <v>714</v>
      </c>
      <c r="I162" s="17" t="s">
        <v>62</v>
      </c>
      <c r="J162" s="17">
        <v>5</v>
      </c>
      <c r="K162" s="14" t="s">
        <v>38</v>
      </c>
      <c r="L162" s="17" t="s">
        <v>31</v>
      </c>
      <c r="M162" s="14" t="s">
        <v>715</v>
      </c>
      <c r="N162" s="14" t="s">
        <v>716</v>
      </c>
      <c r="O162" s="24" t="s">
        <v>717</v>
      </c>
      <c r="P162" s="24" t="s">
        <v>718</v>
      </c>
      <c r="Q162" s="25" t="s">
        <v>43</v>
      </c>
      <c r="R162" s="14" t="s">
        <v>33</v>
      </c>
      <c r="S162" s="14" t="s">
        <v>373</v>
      </c>
      <c r="T162" s="14" t="s">
        <v>719</v>
      </c>
    </row>
    <row r="163" spans="1:21" hidden="1">
      <c r="A163" s="37">
        <v>162</v>
      </c>
      <c r="B163" s="17" t="s">
        <v>376</v>
      </c>
      <c r="C163" s="147">
        <v>46079</v>
      </c>
      <c r="D163" s="14" t="s">
        <v>24</v>
      </c>
      <c r="E163" s="14" t="s">
        <v>138</v>
      </c>
      <c r="F163" s="14" t="s">
        <v>26</v>
      </c>
      <c r="G163" s="14" t="s">
        <v>720</v>
      </c>
      <c r="H163" s="14" t="s">
        <v>589</v>
      </c>
      <c r="I163" s="17" t="s">
        <v>29</v>
      </c>
      <c r="J163" s="17">
        <v>6</v>
      </c>
      <c r="K163" s="14" t="s">
        <v>38</v>
      </c>
      <c r="L163" s="17" t="s">
        <v>31</v>
      </c>
      <c r="M163" s="14" t="s">
        <v>721</v>
      </c>
      <c r="N163" s="14" t="s">
        <v>722</v>
      </c>
      <c r="O163" s="24" t="s">
        <v>723</v>
      </c>
      <c r="P163" s="24" t="s">
        <v>724</v>
      </c>
      <c r="Q163" s="25" t="s">
        <v>43</v>
      </c>
      <c r="R163" s="14" t="s">
        <v>33</v>
      </c>
      <c r="S163" s="14" t="s">
        <v>373</v>
      </c>
      <c r="T163" s="14" t="s">
        <v>719</v>
      </c>
    </row>
    <row r="164" spans="1:21" hidden="1">
      <c r="A164" s="37">
        <v>163</v>
      </c>
      <c r="B164" s="17" t="s">
        <v>376</v>
      </c>
      <c r="C164" s="147">
        <v>46080</v>
      </c>
      <c r="D164" s="14" t="s">
        <v>24</v>
      </c>
      <c r="E164" s="14" t="s">
        <v>454</v>
      </c>
      <c r="F164" s="14" t="s">
        <v>392</v>
      </c>
      <c r="G164" s="14" t="s">
        <v>455</v>
      </c>
      <c r="H164" s="14" t="s">
        <v>323</v>
      </c>
      <c r="I164" s="17" t="s">
        <v>37</v>
      </c>
      <c r="J164" s="17">
        <v>1</v>
      </c>
      <c r="K164" s="14" t="s">
        <v>38</v>
      </c>
      <c r="L164" s="17" t="s">
        <v>31</v>
      </c>
      <c r="M164" s="14" t="s">
        <v>725</v>
      </c>
      <c r="N164" s="14" t="s">
        <v>568</v>
      </c>
      <c r="O164" s="24" t="s">
        <v>569</v>
      </c>
      <c r="P164" s="24" t="s">
        <v>570</v>
      </c>
      <c r="Q164" s="25" t="s">
        <v>43</v>
      </c>
      <c r="R164" s="14" t="s">
        <v>43</v>
      </c>
      <c r="S164" s="14" t="s">
        <v>43</v>
      </c>
      <c r="T164" s="14" t="s">
        <v>611</v>
      </c>
    </row>
    <row r="165" spans="1:21" hidden="1">
      <c r="A165" s="37">
        <v>164</v>
      </c>
      <c r="B165" s="17" t="s">
        <v>376</v>
      </c>
      <c r="C165" s="147">
        <v>46081</v>
      </c>
      <c r="D165" s="14" t="s">
        <v>24</v>
      </c>
      <c r="E165" s="14" t="s">
        <v>726</v>
      </c>
      <c r="F165" s="14" t="s">
        <v>26</v>
      </c>
      <c r="G165" s="14" t="s">
        <v>401</v>
      </c>
      <c r="H165" s="14" t="s">
        <v>727</v>
      </c>
      <c r="I165" s="17" t="s">
        <v>29</v>
      </c>
      <c r="J165" s="17">
        <v>2</v>
      </c>
      <c r="K165" s="14" t="s">
        <v>30</v>
      </c>
      <c r="L165" s="17" t="s">
        <v>31</v>
      </c>
      <c r="M165" s="14" t="s">
        <v>728</v>
      </c>
      <c r="N165" s="14" t="s">
        <v>729</v>
      </c>
      <c r="O165" s="24" t="s">
        <v>730</v>
      </c>
      <c r="P165" s="24" t="s">
        <v>731</v>
      </c>
      <c r="R165" s="14" t="s">
        <v>43</v>
      </c>
      <c r="S165" s="14" t="s">
        <v>43</v>
      </c>
      <c r="T165" s="14" t="s">
        <v>611</v>
      </c>
    </row>
    <row r="166" spans="1:21" hidden="1">
      <c r="A166" s="37">
        <v>165</v>
      </c>
      <c r="B166" s="17" t="s">
        <v>376</v>
      </c>
      <c r="C166" s="147">
        <v>46081</v>
      </c>
      <c r="D166" s="14" t="s">
        <v>24</v>
      </c>
      <c r="E166" s="14" t="s">
        <v>732</v>
      </c>
      <c r="F166" s="14" t="s">
        <v>26</v>
      </c>
      <c r="G166" s="14" t="s">
        <v>733</v>
      </c>
      <c r="H166" s="14" t="s">
        <v>734</v>
      </c>
      <c r="I166" s="17" t="s">
        <v>29</v>
      </c>
      <c r="J166" s="17">
        <v>4</v>
      </c>
      <c r="K166" s="14" t="s">
        <v>38</v>
      </c>
      <c r="L166" s="17" t="s">
        <v>31</v>
      </c>
      <c r="M166" s="14" t="s">
        <v>735</v>
      </c>
      <c r="N166" s="14" t="s">
        <v>736</v>
      </c>
      <c r="O166" s="24" t="s">
        <v>737</v>
      </c>
      <c r="P166" s="24" t="s">
        <v>738</v>
      </c>
      <c r="Q166" s="25" t="s">
        <v>43</v>
      </c>
      <c r="R166" s="14" t="s">
        <v>33</v>
      </c>
      <c r="S166" s="14" t="s">
        <v>373</v>
      </c>
      <c r="T166" s="14" t="s">
        <v>739</v>
      </c>
    </row>
    <row r="167" spans="1:21" hidden="1">
      <c r="A167" s="37">
        <v>166</v>
      </c>
      <c r="B167" s="17" t="s">
        <v>740</v>
      </c>
      <c r="C167" s="147">
        <v>46082</v>
      </c>
      <c r="D167" s="14" t="s">
        <v>24</v>
      </c>
      <c r="E167" s="14" t="s">
        <v>454</v>
      </c>
      <c r="F167" s="14" t="s">
        <v>26</v>
      </c>
      <c r="G167" s="14" t="s">
        <v>455</v>
      </c>
      <c r="H167" s="14" t="s">
        <v>741</v>
      </c>
      <c r="I167" s="17" t="s">
        <v>62</v>
      </c>
      <c r="J167" s="17">
        <v>1</v>
      </c>
      <c r="K167" s="14" t="s">
        <v>38</v>
      </c>
      <c r="L167" s="17" t="s">
        <v>31</v>
      </c>
      <c r="M167" s="14" t="s">
        <v>742</v>
      </c>
      <c r="N167" s="14" t="s">
        <v>743</v>
      </c>
      <c r="O167" s="24" t="s">
        <v>744</v>
      </c>
      <c r="P167" s="24" t="s">
        <v>745</v>
      </c>
      <c r="Q167" s="25" t="s">
        <v>43</v>
      </c>
      <c r="R167" s="14" t="s">
        <v>43</v>
      </c>
      <c r="S167" s="14" t="s">
        <v>43</v>
      </c>
      <c r="T167" s="14" t="s">
        <v>746</v>
      </c>
      <c r="U167" s="14" t="s">
        <v>43</v>
      </c>
    </row>
    <row r="168" spans="1:21" hidden="1">
      <c r="A168" s="37">
        <v>167</v>
      </c>
      <c r="B168" s="17" t="s">
        <v>740</v>
      </c>
      <c r="C168" s="147">
        <v>46083</v>
      </c>
      <c r="D168" s="14" t="s">
        <v>24</v>
      </c>
      <c r="E168" s="14" t="s">
        <v>128</v>
      </c>
      <c r="F168" s="14" t="s">
        <v>26</v>
      </c>
      <c r="G168" s="14" t="s">
        <v>747</v>
      </c>
      <c r="H168" s="14" t="s">
        <v>748</v>
      </c>
      <c r="I168" s="17" t="s">
        <v>29</v>
      </c>
      <c r="J168" s="17">
        <v>1</v>
      </c>
      <c r="K168" s="14" t="s">
        <v>38</v>
      </c>
      <c r="L168" s="17" t="s">
        <v>31</v>
      </c>
      <c r="M168" s="14" t="s">
        <v>749</v>
      </c>
      <c r="N168" s="14" t="s">
        <v>750</v>
      </c>
      <c r="O168" s="24" t="s">
        <v>751</v>
      </c>
      <c r="P168" s="24" t="s">
        <v>752</v>
      </c>
      <c r="Q168" s="25" t="s">
        <v>43</v>
      </c>
      <c r="R168" s="14" t="s">
        <v>43</v>
      </c>
      <c r="S168" s="14" t="s">
        <v>33</v>
      </c>
      <c r="T168" s="14" t="s">
        <v>588</v>
      </c>
    </row>
    <row r="169" spans="1:21" hidden="1">
      <c r="A169" s="37">
        <v>168</v>
      </c>
      <c r="B169" s="17" t="s">
        <v>740</v>
      </c>
      <c r="C169" s="147">
        <v>46084</v>
      </c>
      <c r="D169" s="14" t="s">
        <v>24</v>
      </c>
      <c r="E169" s="14" t="s">
        <v>753</v>
      </c>
      <c r="F169" s="14" t="s">
        <v>26</v>
      </c>
      <c r="G169" s="14" t="s">
        <v>754</v>
      </c>
      <c r="H169" s="14" t="s">
        <v>259</v>
      </c>
      <c r="I169" s="17" t="s">
        <v>29</v>
      </c>
      <c r="J169" s="17">
        <v>3</v>
      </c>
      <c r="K169" s="14" t="s">
        <v>38</v>
      </c>
      <c r="L169" s="17" t="s">
        <v>31</v>
      </c>
      <c r="M169" s="14" t="s">
        <v>755</v>
      </c>
      <c r="N169" s="14" t="s">
        <v>756</v>
      </c>
      <c r="O169" s="24" t="s">
        <v>757</v>
      </c>
      <c r="P169" s="24" t="s">
        <v>758</v>
      </c>
      <c r="Q169" s="25" t="s">
        <v>43</v>
      </c>
      <c r="R169" s="14" t="s">
        <v>33</v>
      </c>
      <c r="S169" s="14" t="s">
        <v>373</v>
      </c>
      <c r="T169" s="14" t="s">
        <v>759</v>
      </c>
      <c r="U169" s="14" t="s">
        <v>43</v>
      </c>
    </row>
    <row r="170" spans="1:21" hidden="1">
      <c r="A170" s="37">
        <v>169</v>
      </c>
      <c r="B170" s="17" t="s">
        <v>740</v>
      </c>
      <c r="C170" s="147">
        <v>46084</v>
      </c>
      <c r="D170" s="14" t="s">
        <v>24</v>
      </c>
      <c r="E170" s="14" t="s">
        <v>74</v>
      </c>
      <c r="F170" s="14" t="s">
        <v>26</v>
      </c>
      <c r="G170" s="14" t="s">
        <v>284</v>
      </c>
      <c r="H170" s="14" t="s">
        <v>344</v>
      </c>
      <c r="I170" s="17" t="s">
        <v>29</v>
      </c>
      <c r="J170" s="17">
        <v>5</v>
      </c>
      <c r="K170" s="14" t="s">
        <v>34</v>
      </c>
      <c r="L170" s="17" t="s">
        <v>31</v>
      </c>
      <c r="M170" s="14" t="s">
        <v>760</v>
      </c>
      <c r="N170" s="14" t="s">
        <v>761</v>
      </c>
      <c r="O170" s="24" t="s">
        <v>762</v>
      </c>
      <c r="P170" s="24" t="s">
        <v>763</v>
      </c>
      <c r="R170" s="14" t="s">
        <v>43</v>
      </c>
      <c r="S170" s="14" t="s">
        <v>33</v>
      </c>
    </row>
    <row r="171" spans="1:21" hidden="1">
      <c r="A171" s="37">
        <v>170</v>
      </c>
      <c r="B171" s="17" t="s">
        <v>740</v>
      </c>
      <c r="C171" s="147">
        <v>46084</v>
      </c>
      <c r="D171" s="14" t="s">
        <v>24</v>
      </c>
      <c r="E171" s="14" t="s">
        <v>211</v>
      </c>
      <c r="F171" s="14" t="s">
        <v>26</v>
      </c>
      <c r="G171" s="14" t="s">
        <v>550</v>
      </c>
      <c r="H171" s="14" t="s">
        <v>47</v>
      </c>
      <c r="I171" s="17" t="s">
        <v>29</v>
      </c>
      <c r="J171" s="17">
        <v>1</v>
      </c>
      <c r="K171" s="14" t="s">
        <v>38</v>
      </c>
      <c r="L171" s="17" t="s">
        <v>31</v>
      </c>
      <c r="M171" s="14" t="s">
        <v>764</v>
      </c>
      <c r="N171" s="7" t="s">
        <v>765</v>
      </c>
      <c r="O171" s="24" t="s">
        <v>766</v>
      </c>
      <c r="P171" s="24" t="s">
        <v>767</v>
      </c>
      <c r="Q171" s="25" t="s">
        <v>43</v>
      </c>
      <c r="R171" s="14" t="s">
        <v>43</v>
      </c>
      <c r="S171" s="14" t="s">
        <v>43</v>
      </c>
      <c r="T171" s="14" t="s">
        <v>768</v>
      </c>
      <c r="U171" s="14" t="s">
        <v>43</v>
      </c>
    </row>
    <row r="172" spans="1:21" s="26" customFormat="1" hidden="1">
      <c r="A172" s="37">
        <v>171</v>
      </c>
      <c r="B172" s="28" t="s">
        <v>740</v>
      </c>
      <c r="C172" s="149">
        <v>46085</v>
      </c>
      <c r="D172" s="26" t="s">
        <v>24</v>
      </c>
      <c r="E172" s="26" t="s">
        <v>332</v>
      </c>
      <c r="F172" s="14" t="s">
        <v>26</v>
      </c>
      <c r="G172" s="26" t="s">
        <v>769</v>
      </c>
      <c r="H172" s="26" t="s">
        <v>770</v>
      </c>
      <c r="I172" s="28" t="s">
        <v>29</v>
      </c>
      <c r="J172" s="28">
        <v>6</v>
      </c>
      <c r="K172" s="26" t="s">
        <v>57</v>
      </c>
      <c r="L172" s="28" t="s">
        <v>31</v>
      </c>
      <c r="M172" s="26" t="s">
        <v>771</v>
      </c>
      <c r="N172" s="33" t="s">
        <v>772</v>
      </c>
      <c r="O172" s="138" t="s">
        <v>773</v>
      </c>
      <c r="P172" s="138" t="s">
        <v>774</v>
      </c>
      <c r="Q172" s="93"/>
      <c r="R172" s="26" t="s">
        <v>33</v>
      </c>
      <c r="S172" s="26" t="s">
        <v>373</v>
      </c>
      <c r="T172" s="26" t="s">
        <v>739</v>
      </c>
    </row>
    <row r="173" spans="1:21" hidden="1">
      <c r="A173" s="37">
        <v>172</v>
      </c>
      <c r="B173" s="17" t="s">
        <v>740</v>
      </c>
      <c r="C173" s="147">
        <v>46086</v>
      </c>
      <c r="D173" s="14" t="s">
        <v>24</v>
      </c>
      <c r="E173" s="14" t="s">
        <v>236</v>
      </c>
      <c r="F173" s="14" t="s">
        <v>26</v>
      </c>
      <c r="G173" s="14" t="s">
        <v>775</v>
      </c>
      <c r="H173" s="14" t="s">
        <v>606</v>
      </c>
      <c r="I173" s="17" t="s">
        <v>29</v>
      </c>
      <c r="J173" s="17">
        <v>3</v>
      </c>
      <c r="K173" s="14" t="s">
        <v>38</v>
      </c>
      <c r="L173" s="17" t="s">
        <v>31</v>
      </c>
      <c r="M173" s="14" t="s">
        <v>776</v>
      </c>
      <c r="N173" s="7" t="s">
        <v>777</v>
      </c>
      <c r="O173" s="24" t="s">
        <v>778</v>
      </c>
      <c r="P173" s="24" t="s">
        <v>779</v>
      </c>
      <c r="Q173" s="25" t="s">
        <v>43</v>
      </c>
      <c r="R173" s="14" t="s">
        <v>33</v>
      </c>
      <c r="S173" s="14" t="s">
        <v>373</v>
      </c>
      <c r="T173" s="14" t="s">
        <v>739</v>
      </c>
    </row>
    <row r="174" spans="1:21">
      <c r="A174" s="37">
        <v>173</v>
      </c>
      <c r="B174" s="17" t="s">
        <v>740</v>
      </c>
      <c r="C174" s="147">
        <v>46091</v>
      </c>
      <c r="D174" s="14" t="s">
        <v>24</v>
      </c>
      <c r="E174" s="14" t="s">
        <v>96</v>
      </c>
      <c r="F174" s="14" t="s">
        <v>392</v>
      </c>
      <c r="G174" s="14" t="s">
        <v>97</v>
      </c>
      <c r="H174" s="14" t="s">
        <v>140</v>
      </c>
      <c r="I174" s="17" t="s">
        <v>29</v>
      </c>
      <c r="J174" s="17">
        <v>5</v>
      </c>
      <c r="K174" s="14" t="s">
        <v>57</v>
      </c>
      <c r="L174" s="17" t="s">
        <v>31</v>
      </c>
      <c r="M174" s="14" t="s">
        <v>780</v>
      </c>
      <c r="N174" s="7" t="s">
        <v>781</v>
      </c>
      <c r="O174" s="24" t="s">
        <v>782</v>
      </c>
      <c r="P174" s="24" t="s">
        <v>783</v>
      </c>
      <c r="R174" s="14" t="s">
        <v>33</v>
      </c>
      <c r="S174" s="14" t="s">
        <v>373</v>
      </c>
      <c r="T174" s="14" t="s">
        <v>739</v>
      </c>
    </row>
    <row r="175" spans="1:21" hidden="1">
      <c r="A175" s="37">
        <v>174</v>
      </c>
      <c r="B175" s="17" t="s">
        <v>740</v>
      </c>
      <c r="C175" s="147">
        <v>46091</v>
      </c>
      <c r="D175" s="14" t="s">
        <v>24</v>
      </c>
      <c r="E175" s="14" t="s">
        <v>784</v>
      </c>
      <c r="F175" s="14" t="s">
        <v>26</v>
      </c>
      <c r="G175" s="14" t="s">
        <v>269</v>
      </c>
      <c r="H175" s="14" t="s">
        <v>259</v>
      </c>
      <c r="I175" s="17" t="s">
        <v>37</v>
      </c>
      <c r="J175" s="17">
        <v>2</v>
      </c>
      <c r="K175" s="14" t="s">
        <v>38</v>
      </c>
      <c r="L175" s="126" t="s">
        <v>31</v>
      </c>
      <c r="M175" s="14" t="s">
        <v>785</v>
      </c>
      <c r="N175" s="7" t="s">
        <v>786</v>
      </c>
      <c r="O175" s="24" t="s">
        <v>787</v>
      </c>
      <c r="P175" s="24" t="s">
        <v>788</v>
      </c>
      <c r="Q175" s="25" t="s">
        <v>43</v>
      </c>
      <c r="R175" s="14" t="s">
        <v>43</v>
      </c>
      <c r="S175" s="14" t="s">
        <v>33</v>
      </c>
      <c r="T175" s="14" t="s">
        <v>588</v>
      </c>
    </row>
    <row r="176" spans="1:21" hidden="1">
      <c r="A176" s="37">
        <v>175</v>
      </c>
      <c r="B176" s="17" t="s">
        <v>740</v>
      </c>
      <c r="C176" s="147">
        <v>46091</v>
      </c>
      <c r="D176" s="14" t="s">
        <v>24</v>
      </c>
      <c r="E176" s="14" t="s">
        <v>332</v>
      </c>
      <c r="F176" s="14" t="s">
        <v>26</v>
      </c>
      <c r="G176" s="14" t="s">
        <v>333</v>
      </c>
      <c r="H176" s="14" t="s">
        <v>789</v>
      </c>
      <c r="I176" s="17" t="s">
        <v>29</v>
      </c>
      <c r="J176" s="17">
        <v>1</v>
      </c>
      <c r="K176" s="14" t="s">
        <v>38</v>
      </c>
      <c r="L176" s="17" t="s">
        <v>31</v>
      </c>
      <c r="M176" s="14" t="s">
        <v>790</v>
      </c>
      <c r="N176" s="7" t="s">
        <v>791</v>
      </c>
      <c r="O176" s="127" t="s">
        <v>792</v>
      </c>
      <c r="P176" s="127" t="s">
        <v>793</v>
      </c>
      <c r="Q176" s="25" t="s">
        <v>43</v>
      </c>
      <c r="R176" s="14" t="s">
        <v>33</v>
      </c>
      <c r="S176" s="14" t="s">
        <v>373</v>
      </c>
      <c r="T176" s="14" t="s">
        <v>739</v>
      </c>
    </row>
    <row r="177" spans="1:21" hidden="1">
      <c r="A177" s="37">
        <v>176</v>
      </c>
      <c r="B177" s="17" t="s">
        <v>740</v>
      </c>
      <c r="C177" s="147">
        <v>46091</v>
      </c>
      <c r="D177" s="14" t="s">
        <v>24</v>
      </c>
      <c r="E177" s="14" t="s">
        <v>794</v>
      </c>
      <c r="F177" s="14" t="s">
        <v>26</v>
      </c>
      <c r="G177" s="14" t="s">
        <v>795</v>
      </c>
      <c r="H177" s="14" t="s">
        <v>796</v>
      </c>
      <c r="I177" s="17" t="s">
        <v>62</v>
      </c>
      <c r="J177" s="17" t="s">
        <v>31</v>
      </c>
      <c r="K177" s="14" t="s">
        <v>63</v>
      </c>
      <c r="L177" s="17" t="s">
        <v>31</v>
      </c>
      <c r="M177" s="14" t="s">
        <v>797</v>
      </c>
      <c r="N177" s="128" t="s">
        <v>798</v>
      </c>
      <c r="O177" s="127" t="s">
        <v>799</v>
      </c>
      <c r="P177" s="127" t="s">
        <v>800</v>
      </c>
      <c r="R177" s="14" t="s">
        <v>33</v>
      </c>
      <c r="S177" s="14" t="s">
        <v>373</v>
      </c>
      <c r="T177" s="14" t="s">
        <v>488</v>
      </c>
    </row>
    <row r="178" spans="1:21" hidden="1">
      <c r="A178" s="37">
        <v>177</v>
      </c>
      <c r="B178" s="17" t="s">
        <v>740</v>
      </c>
      <c r="C178" s="147">
        <v>46092</v>
      </c>
      <c r="D178" s="14" t="s">
        <v>24</v>
      </c>
      <c r="E178" s="14" t="s">
        <v>25</v>
      </c>
      <c r="F178" s="14" t="s">
        <v>26</v>
      </c>
      <c r="G178" s="14" t="s">
        <v>578</v>
      </c>
      <c r="H178" s="14" t="s">
        <v>133</v>
      </c>
      <c r="I178" s="17" t="s">
        <v>62</v>
      </c>
      <c r="J178" s="17">
        <v>6</v>
      </c>
      <c r="K178" s="14" t="s">
        <v>801</v>
      </c>
      <c r="L178" s="17" t="s">
        <v>31</v>
      </c>
      <c r="M178" s="14" t="s">
        <v>802</v>
      </c>
      <c r="N178" s="128" t="s">
        <v>803</v>
      </c>
      <c r="O178" s="127" t="s">
        <v>804</v>
      </c>
      <c r="P178" s="127" t="s">
        <v>805</v>
      </c>
      <c r="R178" s="14" t="s">
        <v>33</v>
      </c>
      <c r="S178" s="14" t="s">
        <v>373</v>
      </c>
      <c r="T178" s="14" t="s">
        <v>739</v>
      </c>
    </row>
    <row r="179" spans="1:21" hidden="1">
      <c r="A179" s="37">
        <v>178</v>
      </c>
      <c r="B179" s="17" t="s">
        <v>740</v>
      </c>
      <c r="C179" s="147">
        <v>46092</v>
      </c>
      <c r="D179" s="14" t="s">
        <v>24</v>
      </c>
      <c r="E179" s="14" t="s">
        <v>289</v>
      </c>
      <c r="F179" s="14" t="s">
        <v>392</v>
      </c>
      <c r="G179" s="14" t="s">
        <v>290</v>
      </c>
      <c r="H179" s="14" t="s">
        <v>806</v>
      </c>
      <c r="I179" s="17" t="s">
        <v>37</v>
      </c>
      <c r="J179" s="17">
        <v>1</v>
      </c>
      <c r="K179" s="14" t="s">
        <v>38</v>
      </c>
      <c r="L179" s="17" t="s">
        <v>31</v>
      </c>
      <c r="M179" s="14" t="s">
        <v>807</v>
      </c>
      <c r="N179" s="7" t="s">
        <v>808</v>
      </c>
      <c r="O179" s="24" t="s">
        <v>809</v>
      </c>
      <c r="P179" s="24" t="s">
        <v>810</v>
      </c>
      <c r="Q179" s="25" t="s">
        <v>43</v>
      </c>
      <c r="T179" s="14" t="s">
        <v>811</v>
      </c>
    </row>
    <row r="180" spans="1:21" hidden="1">
      <c r="A180" s="37">
        <v>179</v>
      </c>
      <c r="B180" s="17" t="s">
        <v>740</v>
      </c>
      <c r="C180" s="147">
        <v>46092</v>
      </c>
      <c r="D180" s="14" t="s">
        <v>24</v>
      </c>
      <c r="E180" s="14" t="s">
        <v>138</v>
      </c>
      <c r="F180" s="14" t="s">
        <v>392</v>
      </c>
      <c r="G180" s="14" t="s">
        <v>118</v>
      </c>
      <c r="H180" s="14" t="s">
        <v>334</v>
      </c>
      <c r="I180" s="17" t="s">
        <v>29</v>
      </c>
      <c r="J180" s="17">
        <v>1</v>
      </c>
      <c r="K180" s="14" t="s">
        <v>38</v>
      </c>
      <c r="L180" s="17" t="s">
        <v>31</v>
      </c>
      <c r="M180" s="14" t="s">
        <v>812</v>
      </c>
      <c r="N180" s="7" t="s">
        <v>473</v>
      </c>
      <c r="O180" s="24" t="s">
        <v>474</v>
      </c>
      <c r="P180" s="24" t="s">
        <v>475</v>
      </c>
      <c r="Q180" s="74" t="s">
        <v>43</v>
      </c>
      <c r="R180" s="69" t="s">
        <v>43</v>
      </c>
      <c r="S180" s="69" t="s">
        <v>43</v>
      </c>
      <c r="T180" s="14" t="s">
        <v>813</v>
      </c>
      <c r="U180" s="14" t="s">
        <v>43</v>
      </c>
    </row>
    <row r="181" spans="1:21" hidden="1">
      <c r="A181" s="37">
        <v>180</v>
      </c>
      <c r="B181" s="17" t="s">
        <v>740</v>
      </c>
      <c r="C181" s="147">
        <v>46092</v>
      </c>
      <c r="D181" s="14" t="s">
        <v>24</v>
      </c>
      <c r="E181" s="14" t="s">
        <v>814</v>
      </c>
      <c r="F181" s="14" t="s">
        <v>26</v>
      </c>
      <c r="G181" s="14" t="s">
        <v>815</v>
      </c>
      <c r="H181" s="14" t="s">
        <v>816</v>
      </c>
      <c r="I181" s="17" t="s">
        <v>37</v>
      </c>
      <c r="J181" s="17">
        <v>6</v>
      </c>
      <c r="K181" s="14" t="s">
        <v>38</v>
      </c>
      <c r="L181" s="17" t="s">
        <v>31</v>
      </c>
      <c r="M181" s="14" t="s">
        <v>817</v>
      </c>
      <c r="N181" s="128" t="s">
        <v>818</v>
      </c>
      <c r="O181" s="127" t="s">
        <v>819</v>
      </c>
      <c r="P181" s="127" t="s">
        <v>820</v>
      </c>
      <c r="Q181" s="25" t="s">
        <v>43</v>
      </c>
      <c r="R181" s="14" t="s">
        <v>43</v>
      </c>
      <c r="S181" s="14" t="s">
        <v>33</v>
      </c>
      <c r="T181" s="14" t="s">
        <v>382</v>
      </c>
    </row>
    <row r="182" spans="1:21" hidden="1">
      <c r="A182" s="37">
        <v>181</v>
      </c>
      <c r="B182" s="17" t="s">
        <v>740</v>
      </c>
      <c r="C182" s="147">
        <v>46092</v>
      </c>
      <c r="D182" s="14" t="s">
        <v>24</v>
      </c>
      <c r="E182" s="14" t="s">
        <v>814</v>
      </c>
      <c r="F182" s="14" t="s">
        <v>392</v>
      </c>
      <c r="G182" s="14" t="s">
        <v>815</v>
      </c>
      <c r="H182" s="14" t="s">
        <v>816</v>
      </c>
      <c r="I182" s="17" t="s">
        <v>37</v>
      </c>
      <c r="J182" s="17">
        <v>4</v>
      </c>
      <c r="K182" s="14" t="s">
        <v>194</v>
      </c>
      <c r="L182" s="17" t="s">
        <v>31</v>
      </c>
      <c r="M182" s="14" t="s">
        <v>821</v>
      </c>
      <c r="N182" s="7" t="s">
        <v>818</v>
      </c>
      <c r="O182" s="127" t="s">
        <v>819</v>
      </c>
      <c r="P182" s="127" t="s">
        <v>820</v>
      </c>
      <c r="R182" s="14" t="s">
        <v>43</v>
      </c>
      <c r="S182" s="14" t="s">
        <v>33</v>
      </c>
      <c r="T182" s="14" t="s">
        <v>382</v>
      </c>
    </row>
    <row r="183" spans="1:21" hidden="1">
      <c r="A183" s="37">
        <v>182</v>
      </c>
      <c r="B183" s="17" t="s">
        <v>740</v>
      </c>
      <c r="C183" s="147">
        <v>46092</v>
      </c>
      <c r="D183" s="14" t="s">
        <v>24</v>
      </c>
      <c r="E183" s="14" t="s">
        <v>138</v>
      </c>
      <c r="F183" s="14" t="s">
        <v>392</v>
      </c>
      <c r="G183" s="14" t="s">
        <v>118</v>
      </c>
      <c r="H183" s="14" t="s">
        <v>334</v>
      </c>
      <c r="I183" s="17" t="s">
        <v>29</v>
      </c>
      <c r="J183" s="17">
        <v>1</v>
      </c>
      <c r="K183" s="14" t="s">
        <v>57</v>
      </c>
      <c r="L183" s="17" t="s">
        <v>31</v>
      </c>
      <c r="M183" s="14" t="s">
        <v>822</v>
      </c>
      <c r="N183" s="7" t="s">
        <v>473</v>
      </c>
      <c r="O183" s="127" t="s">
        <v>474</v>
      </c>
      <c r="P183" s="127" t="s">
        <v>475</v>
      </c>
      <c r="Q183" s="25" t="s">
        <v>43</v>
      </c>
      <c r="R183" s="14" t="s">
        <v>43</v>
      </c>
      <c r="S183" s="14" t="s">
        <v>43</v>
      </c>
      <c r="T183" s="14" t="s">
        <v>823</v>
      </c>
      <c r="U183" s="14" t="s">
        <v>43</v>
      </c>
    </row>
    <row r="184" spans="1:21" hidden="1">
      <c r="A184" s="37">
        <v>183</v>
      </c>
      <c r="B184" s="17" t="s">
        <v>740</v>
      </c>
      <c r="C184" s="147">
        <v>46092</v>
      </c>
      <c r="D184" s="14" t="s">
        <v>24</v>
      </c>
      <c r="E184" s="14" t="s">
        <v>178</v>
      </c>
      <c r="F184" s="14" t="s">
        <v>26</v>
      </c>
      <c r="G184" s="14" t="s">
        <v>824</v>
      </c>
      <c r="H184" s="14" t="s">
        <v>180</v>
      </c>
      <c r="I184" s="17" t="s">
        <v>29</v>
      </c>
      <c r="J184" s="17">
        <v>4</v>
      </c>
      <c r="K184" s="14" t="s">
        <v>38</v>
      </c>
      <c r="L184" s="17" t="s">
        <v>31</v>
      </c>
      <c r="M184" s="14" t="s">
        <v>825</v>
      </c>
      <c r="N184" s="7" t="s">
        <v>826</v>
      </c>
      <c r="O184" s="24" t="s">
        <v>827</v>
      </c>
      <c r="P184" s="24" t="s">
        <v>828</v>
      </c>
      <c r="Q184" s="25" t="s">
        <v>43</v>
      </c>
      <c r="R184" s="14" t="s">
        <v>43</v>
      </c>
      <c r="S184" s="14" t="s">
        <v>43</v>
      </c>
      <c r="T184" s="14" t="s">
        <v>829</v>
      </c>
      <c r="U184" s="14" t="s">
        <v>43</v>
      </c>
    </row>
    <row r="185" spans="1:21" hidden="1">
      <c r="A185" s="37">
        <v>184</v>
      </c>
      <c r="B185" s="17" t="s">
        <v>740</v>
      </c>
      <c r="C185" s="147">
        <v>46092</v>
      </c>
      <c r="D185" s="14" t="s">
        <v>24</v>
      </c>
      <c r="E185" s="14" t="s">
        <v>74</v>
      </c>
      <c r="F185" s="14" t="s">
        <v>26</v>
      </c>
      <c r="G185" s="14" t="s">
        <v>284</v>
      </c>
      <c r="H185" s="14" t="s">
        <v>281</v>
      </c>
      <c r="I185" s="17" t="s">
        <v>29</v>
      </c>
      <c r="J185" s="17">
        <v>3</v>
      </c>
      <c r="K185" s="14" t="s">
        <v>38</v>
      </c>
      <c r="L185" s="17" t="s">
        <v>31</v>
      </c>
      <c r="M185" s="14" t="s">
        <v>830</v>
      </c>
      <c r="N185" s="7" t="s">
        <v>831</v>
      </c>
      <c r="O185" s="127" t="s">
        <v>832</v>
      </c>
      <c r="P185" s="127" t="s">
        <v>833</v>
      </c>
      <c r="Q185" s="25" t="s">
        <v>43</v>
      </c>
      <c r="R185" s="14" t="s">
        <v>43</v>
      </c>
      <c r="S185" s="14" t="s">
        <v>33</v>
      </c>
      <c r="T185" s="14" t="s">
        <v>382</v>
      </c>
    </row>
    <row r="186" spans="1:21" hidden="1">
      <c r="A186" s="37">
        <v>185</v>
      </c>
      <c r="B186" s="17" t="s">
        <v>740</v>
      </c>
      <c r="C186" s="147">
        <v>46095</v>
      </c>
      <c r="D186" s="14" t="s">
        <v>24</v>
      </c>
      <c r="E186" s="14" t="s">
        <v>834</v>
      </c>
      <c r="F186" s="14" t="s">
        <v>26</v>
      </c>
      <c r="G186" s="14" t="s">
        <v>835</v>
      </c>
      <c r="H186" s="14" t="s">
        <v>836</v>
      </c>
      <c r="I186" s="17" t="s">
        <v>29</v>
      </c>
      <c r="J186" s="17">
        <v>5</v>
      </c>
      <c r="K186" s="14" t="s">
        <v>38</v>
      </c>
      <c r="L186" s="17" t="s">
        <v>31</v>
      </c>
      <c r="M186" s="14" t="s">
        <v>837</v>
      </c>
      <c r="N186" s="7" t="s">
        <v>838</v>
      </c>
      <c r="O186" s="127" t="s">
        <v>839</v>
      </c>
      <c r="P186" s="127" t="s">
        <v>840</v>
      </c>
      <c r="R186" s="14" t="s">
        <v>33</v>
      </c>
      <c r="S186" s="14" t="s">
        <v>373</v>
      </c>
      <c r="T186" s="14" t="s">
        <v>483</v>
      </c>
    </row>
    <row r="187" spans="1:21" hidden="1">
      <c r="A187" s="37">
        <v>186</v>
      </c>
      <c r="B187" s="17" t="s">
        <v>740</v>
      </c>
      <c r="C187" s="147">
        <v>46096</v>
      </c>
      <c r="D187" s="14" t="s">
        <v>24</v>
      </c>
      <c r="E187" s="14" t="s">
        <v>82</v>
      </c>
      <c r="F187" s="14" t="s">
        <v>26</v>
      </c>
      <c r="G187" s="14" t="s">
        <v>83</v>
      </c>
      <c r="H187" s="14" t="s">
        <v>154</v>
      </c>
      <c r="I187" s="17" t="s">
        <v>29</v>
      </c>
      <c r="J187" s="17">
        <v>2</v>
      </c>
      <c r="K187" s="14" t="s">
        <v>34</v>
      </c>
      <c r="L187" s="17" t="s">
        <v>31</v>
      </c>
      <c r="M187" s="14" t="s">
        <v>841</v>
      </c>
      <c r="N187" s="7" t="s">
        <v>842</v>
      </c>
      <c r="O187" s="127" t="s">
        <v>843</v>
      </c>
      <c r="P187" s="127" t="s">
        <v>844</v>
      </c>
      <c r="R187" s="14" t="s">
        <v>43</v>
      </c>
      <c r="S187" s="14" t="s">
        <v>33</v>
      </c>
      <c r="T187" s="14" t="s">
        <v>588</v>
      </c>
    </row>
    <row r="188" spans="1:21" hidden="1">
      <c r="A188" s="37">
        <v>187</v>
      </c>
      <c r="B188" s="17" t="s">
        <v>740</v>
      </c>
      <c r="C188" s="147">
        <v>46097</v>
      </c>
      <c r="D188" s="14" t="s">
        <v>24</v>
      </c>
      <c r="E188" s="14" t="s">
        <v>340</v>
      </c>
      <c r="F188" s="14" t="s">
        <v>26</v>
      </c>
      <c r="G188" s="14" t="s">
        <v>845</v>
      </c>
      <c r="H188" s="14" t="s">
        <v>846</v>
      </c>
      <c r="I188" s="17" t="s">
        <v>29</v>
      </c>
      <c r="J188" s="17">
        <v>2</v>
      </c>
      <c r="K188" s="14" t="s">
        <v>34</v>
      </c>
      <c r="L188" s="17" t="s">
        <v>31</v>
      </c>
      <c r="M188" s="14" t="s">
        <v>847</v>
      </c>
      <c r="N188" s="7" t="s">
        <v>848</v>
      </c>
      <c r="O188" s="127" t="s">
        <v>849</v>
      </c>
      <c r="P188" s="127" t="s">
        <v>850</v>
      </c>
      <c r="R188" s="14" t="s">
        <v>43</v>
      </c>
      <c r="S188" s="14" t="s">
        <v>33</v>
      </c>
      <c r="T188" s="14" t="s">
        <v>382</v>
      </c>
    </row>
    <row r="189" spans="1:21">
      <c r="A189" s="37">
        <v>188</v>
      </c>
      <c r="B189" s="17" t="s">
        <v>740</v>
      </c>
      <c r="C189" s="147">
        <v>46097</v>
      </c>
      <c r="D189" s="14" t="s">
        <v>24</v>
      </c>
      <c r="E189" s="14" t="s">
        <v>96</v>
      </c>
      <c r="F189" s="14" t="s">
        <v>26</v>
      </c>
      <c r="G189" s="14" t="s">
        <v>144</v>
      </c>
      <c r="H189" s="14" t="s">
        <v>145</v>
      </c>
      <c r="I189" s="17" t="s">
        <v>29</v>
      </c>
      <c r="J189" s="17">
        <v>5</v>
      </c>
      <c r="K189" s="14" t="s">
        <v>38</v>
      </c>
      <c r="L189" s="17" t="s">
        <v>31</v>
      </c>
      <c r="M189" s="14" t="s">
        <v>851</v>
      </c>
      <c r="N189" s="7" t="s">
        <v>852</v>
      </c>
      <c r="O189" s="127" t="s">
        <v>853</v>
      </c>
      <c r="P189" s="127" t="s">
        <v>854</v>
      </c>
      <c r="R189" s="14" t="s">
        <v>43</v>
      </c>
      <c r="S189" s="14" t="s">
        <v>43</v>
      </c>
      <c r="T189" s="14" t="s">
        <v>611</v>
      </c>
    </row>
    <row r="190" spans="1:21" hidden="1">
      <c r="A190" s="37">
        <v>189</v>
      </c>
      <c r="B190" s="17" t="s">
        <v>740</v>
      </c>
      <c r="C190" s="147">
        <v>46098</v>
      </c>
      <c r="D190" s="14" t="s">
        <v>24</v>
      </c>
      <c r="E190" s="14" t="s">
        <v>128</v>
      </c>
      <c r="F190" s="14" t="s">
        <v>36</v>
      </c>
      <c r="G190" s="14" t="s">
        <v>129</v>
      </c>
      <c r="H190" s="14" t="s">
        <v>130</v>
      </c>
      <c r="I190" s="17" t="s">
        <v>37</v>
      </c>
      <c r="J190" s="17">
        <v>3</v>
      </c>
      <c r="K190" s="14" t="s">
        <v>194</v>
      </c>
      <c r="L190" s="17" t="s">
        <v>31</v>
      </c>
      <c r="M190" s="14" t="s">
        <v>855</v>
      </c>
      <c r="N190" s="128" t="s">
        <v>856</v>
      </c>
      <c r="O190" s="127" t="s">
        <v>857</v>
      </c>
      <c r="P190" s="127" t="s">
        <v>858</v>
      </c>
      <c r="R190" s="14" t="s">
        <v>43</v>
      </c>
      <c r="S190" s="14" t="s">
        <v>43</v>
      </c>
      <c r="T190" s="14" t="s">
        <v>611</v>
      </c>
    </row>
    <row r="191" spans="1:21" hidden="1">
      <c r="A191" s="37">
        <v>190</v>
      </c>
      <c r="B191" s="17" t="s">
        <v>740</v>
      </c>
      <c r="C191" s="147">
        <v>46098</v>
      </c>
      <c r="D191" s="14" t="s">
        <v>24</v>
      </c>
      <c r="E191" s="14" t="s">
        <v>859</v>
      </c>
      <c r="F191" s="14" t="s">
        <v>26</v>
      </c>
      <c r="G191" s="14" t="s">
        <v>860</v>
      </c>
      <c r="H191" s="14" t="s">
        <v>861</v>
      </c>
      <c r="I191" s="17" t="s">
        <v>29</v>
      </c>
      <c r="J191" s="17">
        <v>6</v>
      </c>
      <c r="K191" s="14" t="s">
        <v>38</v>
      </c>
      <c r="L191" s="17" t="s">
        <v>31</v>
      </c>
      <c r="M191" s="14" t="s">
        <v>862</v>
      </c>
      <c r="N191" s="128" t="s">
        <v>863</v>
      </c>
      <c r="O191" s="127" t="s">
        <v>864</v>
      </c>
      <c r="P191" s="127" t="s">
        <v>865</v>
      </c>
      <c r="R191" s="14" t="s">
        <v>33</v>
      </c>
      <c r="S191" s="14" t="s">
        <v>373</v>
      </c>
      <c r="T191" s="14" t="s">
        <v>488</v>
      </c>
    </row>
    <row r="192" spans="1:21" hidden="1">
      <c r="A192" s="37">
        <v>191</v>
      </c>
      <c r="B192" s="17" t="s">
        <v>740</v>
      </c>
      <c r="C192" s="147">
        <v>46098</v>
      </c>
      <c r="D192" s="14" t="s">
        <v>24</v>
      </c>
      <c r="E192" s="14" t="s">
        <v>74</v>
      </c>
      <c r="F192" s="14" t="s">
        <v>26</v>
      </c>
      <c r="G192" s="14" t="s">
        <v>75</v>
      </c>
      <c r="H192" s="14" t="s">
        <v>866</v>
      </c>
      <c r="I192" s="17" t="s">
        <v>29</v>
      </c>
      <c r="J192" s="17">
        <v>6</v>
      </c>
      <c r="K192" s="14" t="s">
        <v>30</v>
      </c>
      <c r="L192" s="17" t="s">
        <v>31</v>
      </c>
      <c r="M192" s="14" t="s">
        <v>867</v>
      </c>
      <c r="N192" s="128" t="s">
        <v>868</v>
      </c>
      <c r="O192" s="127" t="s">
        <v>869</v>
      </c>
      <c r="P192" s="127" t="s">
        <v>870</v>
      </c>
      <c r="R192" s="14" t="s">
        <v>43</v>
      </c>
      <c r="S192" s="14" t="s">
        <v>43</v>
      </c>
      <c r="T192" s="14" t="s">
        <v>871</v>
      </c>
    </row>
    <row r="193" spans="1:21" hidden="1">
      <c r="A193" s="37">
        <v>192</v>
      </c>
      <c r="B193" s="17" t="s">
        <v>740</v>
      </c>
      <c r="C193" s="147">
        <v>46099</v>
      </c>
      <c r="D193" s="14" t="s">
        <v>24</v>
      </c>
      <c r="E193" s="14" t="s">
        <v>109</v>
      </c>
      <c r="F193" s="14" t="s">
        <v>26</v>
      </c>
      <c r="G193" s="14" t="s">
        <v>872</v>
      </c>
      <c r="H193" s="14" t="s">
        <v>377</v>
      </c>
      <c r="I193" s="17" t="s">
        <v>62</v>
      </c>
      <c r="J193" s="17">
        <v>2</v>
      </c>
      <c r="K193" s="14" t="s">
        <v>38</v>
      </c>
      <c r="L193" s="17" t="s">
        <v>31</v>
      </c>
      <c r="M193" s="14" t="s">
        <v>873</v>
      </c>
      <c r="N193" s="128" t="s">
        <v>874</v>
      </c>
      <c r="O193" s="127" t="s">
        <v>875</v>
      </c>
      <c r="P193" s="127" t="s">
        <v>875</v>
      </c>
      <c r="R193" s="14" t="s">
        <v>33</v>
      </c>
      <c r="S193" s="14" t="s">
        <v>373</v>
      </c>
      <c r="T193" s="14" t="s">
        <v>739</v>
      </c>
    </row>
    <row r="194" spans="1:21" hidden="1">
      <c r="A194" s="37">
        <v>193</v>
      </c>
      <c r="B194" s="17" t="s">
        <v>740</v>
      </c>
      <c r="C194" s="147">
        <v>46099</v>
      </c>
      <c r="D194" s="14" t="s">
        <v>24</v>
      </c>
      <c r="E194" s="14" t="s">
        <v>211</v>
      </c>
      <c r="F194" s="14" t="s">
        <v>26</v>
      </c>
      <c r="G194" s="14" t="s">
        <v>212</v>
      </c>
      <c r="H194" s="14" t="s">
        <v>213</v>
      </c>
      <c r="I194" s="17" t="s">
        <v>62</v>
      </c>
      <c r="J194" s="17">
        <v>5</v>
      </c>
      <c r="K194" s="14" t="s">
        <v>38</v>
      </c>
      <c r="L194" s="17" t="s">
        <v>31</v>
      </c>
      <c r="M194" s="14" t="s">
        <v>876</v>
      </c>
      <c r="N194" s="128" t="s">
        <v>877</v>
      </c>
      <c r="O194" s="127" t="s">
        <v>878</v>
      </c>
      <c r="P194" s="127" t="s">
        <v>879</v>
      </c>
      <c r="R194" s="14" t="s">
        <v>33</v>
      </c>
      <c r="S194" s="14" t="s">
        <v>373</v>
      </c>
      <c r="T194" s="14" t="s">
        <v>739</v>
      </c>
    </row>
    <row r="195" spans="1:21" s="26" customFormat="1" hidden="1">
      <c r="A195" s="37">
        <v>194</v>
      </c>
      <c r="B195" s="28" t="s">
        <v>740</v>
      </c>
      <c r="C195" s="149">
        <v>46100</v>
      </c>
      <c r="D195" s="26" t="s">
        <v>24</v>
      </c>
      <c r="E195" s="26" t="s">
        <v>74</v>
      </c>
      <c r="F195" s="26" t="s">
        <v>36</v>
      </c>
      <c r="G195" s="26" t="s">
        <v>225</v>
      </c>
      <c r="H195" s="26" t="s">
        <v>316</v>
      </c>
      <c r="I195" s="28" t="s">
        <v>62</v>
      </c>
      <c r="J195" s="28">
        <v>1</v>
      </c>
      <c r="K195" s="26" t="s">
        <v>141</v>
      </c>
      <c r="L195" s="28" t="s">
        <v>31</v>
      </c>
      <c r="M195" s="26" t="s">
        <v>880</v>
      </c>
      <c r="N195" s="33" t="s">
        <v>881</v>
      </c>
      <c r="O195" s="138" t="s">
        <v>882</v>
      </c>
      <c r="P195" s="138" t="s">
        <v>883</v>
      </c>
      <c r="Q195" s="93"/>
      <c r="R195" s="26" t="s">
        <v>43</v>
      </c>
      <c r="S195" s="26" t="s">
        <v>33</v>
      </c>
      <c r="T195" s="26" t="s">
        <v>588</v>
      </c>
    </row>
    <row r="196" spans="1:21" hidden="1">
      <c r="A196" s="37">
        <v>195</v>
      </c>
      <c r="B196" s="17" t="s">
        <v>740</v>
      </c>
      <c r="C196" s="147">
        <v>46100</v>
      </c>
      <c r="D196" s="14" t="s">
        <v>24</v>
      </c>
      <c r="E196" s="14" t="s">
        <v>675</v>
      </c>
      <c r="F196" s="14" t="s">
        <v>36</v>
      </c>
      <c r="G196" s="14" t="s">
        <v>264</v>
      </c>
      <c r="H196" s="14" t="s">
        <v>884</v>
      </c>
      <c r="I196" s="17" t="s">
        <v>29</v>
      </c>
      <c r="J196" s="17">
        <v>4</v>
      </c>
      <c r="K196" s="14" t="s">
        <v>30</v>
      </c>
      <c r="L196" s="17" t="s">
        <v>31</v>
      </c>
      <c r="M196" s="14" t="s">
        <v>885</v>
      </c>
      <c r="N196" s="7" t="s">
        <v>886</v>
      </c>
      <c r="O196" s="24" t="s">
        <v>887</v>
      </c>
      <c r="P196" s="24" t="s">
        <v>888</v>
      </c>
      <c r="R196" s="14" t="s">
        <v>43</v>
      </c>
      <c r="S196" s="14" t="s">
        <v>33</v>
      </c>
      <c r="T196" s="14" t="s">
        <v>382</v>
      </c>
    </row>
    <row r="197" spans="1:21" hidden="1">
      <c r="A197" s="37">
        <v>196</v>
      </c>
      <c r="B197" s="17" t="s">
        <v>740</v>
      </c>
      <c r="C197" s="147">
        <v>46101</v>
      </c>
      <c r="D197" s="14" t="s">
        <v>24</v>
      </c>
      <c r="E197" s="14" t="s">
        <v>65</v>
      </c>
      <c r="F197" s="14" t="s">
        <v>392</v>
      </c>
      <c r="G197" s="14" t="s">
        <v>27</v>
      </c>
      <c r="H197" s="14" t="s">
        <v>204</v>
      </c>
      <c r="I197" s="17" t="s">
        <v>62</v>
      </c>
      <c r="J197" s="17">
        <v>3</v>
      </c>
      <c r="K197" s="14" t="s">
        <v>38</v>
      </c>
      <c r="L197" s="17" t="s">
        <v>31</v>
      </c>
      <c r="M197" s="14" t="s">
        <v>889</v>
      </c>
      <c r="N197" s="7" t="s">
        <v>890</v>
      </c>
      <c r="O197" s="24" t="s">
        <v>891</v>
      </c>
      <c r="P197" s="24" t="s">
        <v>892</v>
      </c>
      <c r="R197" s="14" t="s">
        <v>43</v>
      </c>
      <c r="S197" s="14" t="s">
        <v>43</v>
      </c>
      <c r="T197" s="14" t="s">
        <v>893</v>
      </c>
      <c r="U197" s="14" t="s">
        <v>43</v>
      </c>
    </row>
    <row r="198" spans="1:21" hidden="1">
      <c r="A198" s="37">
        <v>197</v>
      </c>
      <c r="B198" s="17" t="s">
        <v>740</v>
      </c>
      <c r="C198" s="147">
        <v>46101</v>
      </c>
      <c r="D198" s="14" t="s">
        <v>24</v>
      </c>
      <c r="E198" s="14" t="s">
        <v>894</v>
      </c>
      <c r="F198" s="14" t="s">
        <v>392</v>
      </c>
      <c r="G198" s="14" t="s">
        <v>895</v>
      </c>
      <c r="H198" s="14" t="s">
        <v>896</v>
      </c>
      <c r="I198" s="17" t="s">
        <v>29</v>
      </c>
      <c r="J198" s="17">
        <v>3</v>
      </c>
      <c r="K198" s="14" t="s">
        <v>38</v>
      </c>
      <c r="L198" s="17" t="s">
        <v>31</v>
      </c>
      <c r="M198" s="14" t="s">
        <v>897</v>
      </c>
      <c r="N198" s="7" t="s">
        <v>898</v>
      </c>
      <c r="O198" s="24" t="s">
        <v>314</v>
      </c>
      <c r="P198" s="24" t="s">
        <v>315</v>
      </c>
      <c r="R198" s="14" t="s">
        <v>43</v>
      </c>
      <c r="S198" s="14" t="s">
        <v>33</v>
      </c>
      <c r="T198" s="14" t="s">
        <v>899</v>
      </c>
    </row>
    <row r="199" spans="1:21" hidden="1">
      <c r="A199" s="37">
        <v>198</v>
      </c>
      <c r="B199" s="17" t="s">
        <v>740</v>
      </c>
      <c r="C199" s="147">
        <v>46101</v>
      </c>
      <c r="D199" s="14" t="s">
        <v>24</v>
      </c>
      <c r="E199" s="14" t="s">
        <v>900</v>
      </c>
      <c r="F199" s="14" t="s">
        <v>26</v>
      </c>
      <c r="G199" s="14" t="s">
        <v>872</v>
      </c>
      <c r="H199" s="14" t="s">
        <v>901</v>
      </c>
      <c r="I199" s="17" t="s">
        <v>29</v>
      </c>
      <c r="J199" s="17">
        <v>1</v>
      </c>
      <c r="K199" s="14" t="s">
        <v>38</v>
      </c>
      <c r="L199" s="17" t="s">
        <v>31</v>
      </c>
      <c r="M199" s="14" t="s">
        <v>902</v>
      </c>
      <c r="N199" s="7" t="s">
        <v>903</v>
      </c>
      <c r="O199" s="24" t="s">
        <v>904</v>
      </c>
      <c r="P199" s="24" t="s">
        <v>905</v>
      </c>
      <c r="R199" s="14" t="s">
        <v>33</v>
      </c>
      <c r="S199" s="14" t="s">
        <v>373</v>
      </c>
      <c r="T199" s="14" t="s">
        <v>906</v>
      </c>
    </row>
    <row r="200" spans="1:21" s="26" customFormat="1" hidden="1">
      <c r="A200" s="37">
        <v>199</v>
      </c>
      <c r="B200" s="28" t="s">
        <v>740</v>
      </c>
      <c r="C200" s="149">
        <v>46102</v>
      </c>
      <c r="D200" s="26" t="s">
        <v>24</v>
      </c>
      <c r="E200" s="26" t="s">
        <v>59</v>
      </c>
      <c r="F200" s="14" t="s">
        <v>26</v>
      </c>
      <c r="G200" s="26" t="s">
        <v>60</v>
      </c>
      <c r="H200" s="26" t="s">
        <v>72</v>
      </c>
      <c r="I200" s="28" t="s">
        <v>62</v>
      </c>
      <c r="J200" s="28">
        <v>3</v>
      </c>
      <c r="K200" s="26" t="s">
        <v>38</v>
      </c>
      <c r="L200" s="28" t="s">
        <v>31</v>
      </c>
      <c r="M200" s="26" t="s">
        <v>907</v>
      </c>
      <c r="N200" s="33" t="s">
        <v>736</v>
      </c>
      <c r="O200" s="138" t="s">
        <v>737</v>
      </c>
      <c r="P200" s="138" t="s">
        <v>738</v>
      </c>
      <c r="Q200" s="93"/>
      <c r="R200" s="26" t="s">
        <v>33</v>
      </c>
      <c r="S200" s="26" t="s">
        <v>373</v>
      </c>
      <c r="T200" s="26" t="s">
        <v>466</v>
      </c>
    </row>
    <row r="201" spans="1:21" hidden="1">
      <c r="A201" s="37">
        <v>200</v>
      </c>
      <c r="B201" s="17" t="s">
        <v>740</v>
      </c>
      <c r="C201" s="147">
        <v>46102</v>
      </c>
      <c r="D201" s="14" t="s">
        <v>24</v>
      </c>
      <c r="E201" s="14" t="s">
        <v>128</v>
      </c>
      <c r="F201" s="14" t="s">
        <v>26</v>
      </c>
      <c r="G201" s="14" t="s">
        <v>129</v>
      </c>
      <c r="H201" s="14" t="s">
        <v>908</v>
      </c>
      <c r="I201" s="17" t="s">
        <v>29</v>
      </c>
      <c r="J201" s="17">
        <v>1</v>
      </c>
      <c r="K201" s="14" t="s">
        <v>34</v>
      </c>
      <c r="L201" s="17" t="s">
        <v>31</v>
      </c>
      <c r="M201" s="14" t="s">
        <v>909</v>
      </c>
      <c r="N201" s="7" t="s">
        <v>910</v>
      </c>
      <c r="O201" s="24" t="s">
        <v>911</v>
      </c>
      <c r="P201" s="24" t="s">
        <v>912</v>
      </c>
      <c r="R201" s="14" t="s">
        <v>33</v>
      </c>
      <c r="S201" s="14" t="s">
        <v>373</v>
      </c>
      <c r="T201" s="14" t="s">
        <v>913</v>
      </c>
    </row>
    <row r="202" spans="1:21" hidden="1">
      <c r="A202" s="37">
        <v>201</v>
      </c>
      <c r="B202" s="17" t="s">
        <v>740</v>
      </c>
      <c r="C202" s="147">
        <v>46103</v>
      </c>
      <c r="D202" s="14" t="s">
        <v>24</v>
      </c>
      <c r="E202" s="14" t="s">
        <v>251</v>
      </c>
      <c r="F202" s="14" t="s">
        <v>26</v>
      </c>
      <c r="G202" s="14" t="s">
        <v>914</v>
      </c>
      <c r="H202" s="14" t="s">
        <v>915</v>
      </c>
      <c r="I202" s="17" t="s">
        <v>37</v>
      </c>
      <c r="J202" s="17" t="s">
        <v>31</v>
      </c>
      <c r="K202" s="14" t="s">
        <v>416</v>
      </c>
      <c r="L202" s="17" t="s">
        <v>31</v>
      </c>
      <c r="M202" s="14" t="s">
        <v>916</v>
      </c>
      <c r="N202" s="7" t="s">
        <v>917</v>
      </c>
      <c r="O202" s="24" t="s">
        <v>918</v>
      </c>
      <c r="P202" s="24" t="s">
        <v>919</v>
      </c>
      <c r="R202" s="14" t="s">
        <v>33</v>
      </c>
      <c r="S202" s="14" t="s">
        <v>373</v>
      </c>
    </row>
    <row r="203" spans="1:21" s="26" customFormat="1" hidden="1">
      <c r="A203" s="37">
        <v>202</v>
      </c>
      <c r="B203" s="28" t="s">
        <v>740</v>
      </c>
      <c r="C203" s="149">
        <v>46103</v>
      </c>
      <c r="D203" s="26" t="s">
        <v>24</v>
      </c>
      <c r="E203" s="26" t="s">
        <v>59</v>
      </c>
      <c r="F203" s="14" t="s">
        <v>26</v>
      </c>
      <c r="G203" s="26" t="s">
        <v>60</v>
      </c>
      <c r="H203" s="26" t="s">
        <v>72</v>
      </c>
      <c r="I203" s="28" t="s">
        <v>29</v>
      </c>
      <c r="J203" s="28">
        <v>1</v>
      </c>
      <c r="K203" s="26" t="s">
        <v>34</v>
      </c>
      <c r="L203" s="28" t="s">
        <v>31</v>
      </c>
      <c r="M203" s="26" t="s">
        <v>920</v>
      </c>
      <c r="N203" s="33" t="s">
        <v>921</v>
      </c>
      <c r="O203" s="138" t="s">
        <v>922</v>
      </c>
      <c r="P203" s="138" t="s">
        <v>923</v>
      </c>
      <c r="Q203" s="93"/>
      <c r="R203" s="26" t="s">
        <v>33</v>
      </c>
      <c r="S203" s="26" t="s">
        <v>373</v>
      </c>
      <c r="T203" s="26" t="s">
        <v>466</v>
      </c>
    </row>
    <row r="204" spans="1:21" hidden="1">
      <c r="A204" s="37">
        <v>203</v>
      </c>
      <c r="B204" s="17" t="s">
        <v>740</v>
      </c>
      <c r="C204" s="147">
        <v>46104</v>
      </c>
      <c r="D204" s="14" t="s">
        <v>24</v>
      </c>
      <c r="E204" s="14" t="s">
        <v>283</v>
      </c>
      <c r="F204" s="14" t="s">
        <v>26</v>
      </c>
      <c r="G204" s="14" t="s">
        <v>225</v>
      </c>
      <c r="H204" s="14" t="s">
        <v>316</v>
      </c>
      <c r="I204" s="17" t="s">
        <v>62</v>
      </c>
      <c r="J204" s="17">
        <v>1</v>
      </c>
      <c r="K204" s="14" t="s">
        <v>38</v>
      </c>
      <c r="L204" s="17" t="s">
        <v>31</v>
      </c>
      <c r="M204" s="14" t="s">
        <v>924</v>
      </c>
      <c r="N204" s="7" t="s">
        <v>925</v>
      </c>
      <c r="O204" s="24" t="s">
        <v>926</v>
      </c>
      <c r="P204" s="24" t="s">
        <v>927</v>
      </c>
      <c r="R204" s="14" t="s">
        <v>33</v>
      </c>
      <c r="S204" s="14" t="s">
        <v>373</v>
      </c>
      <c r="T204" s="14" t="s">
        <v>928</v>
      </c>
    </row>
    <row r="205" spans="1:21">
      <c r="A205" s="37">
        <v>204</v>
      </c>
      <c r="B205" s="17" t="s">
        <v>740</v>
      </c>
      <c r="C205" s="147">
        <v>46105</v>
      </c>
      <c r="D205" s="14" t="s">
        <v>24</v>
      </c>
      <c r="E205" s="14" t="s">
        <v>96</v>
      </c>
      <c r="F205" s="14" t="s">
        <v>26</v>
      </c>
      <c r="G205" s="14" t="s">
        <v>97</v>
      </c>
      <c r="H205" s="14" t="s">
        <v>596</v>
      </c>
      <c r="I205" s="17" t="s">
        <v>29</v>
      </c>
      <c r="J205" s="17">
        <v>1</v>
      </c>
      <c r="K205" s="14" t="s">
        <v>38</v>
      </c>
      <c r="L205" s="17" t="s">
        <v>31</v>
      </c>
      <c r="M205" s="14" t="s">
        <v>929</v>
      </c>
      <c r="N205" s="7" t="s">
        <v>930</v>
      </c>
      <c r="O205" s="24" t="s">
        <v>931</v>
      </c>
      <c r="P205" s="24" t="s">
        <v>932</v>
      </c>
      <c r="R205" s="14" t="s">
        <v>43</v>
      </c>
      <c r="S205" s="14" t="s">
        <v>43</v>
      </c>
      <c r="T205" s="14" t="s">
        <v>933</v>
      </c>
      <c r="U205" s="14" t="s">
        <v>43</v>
      </c>
    </row>
    <row r="206" spans="1:21" hidden="1">
      <c r="A206" s="37">
        <v>205</v>
      </c>
      <c r="B206" s="17" t="s">
        <v>740</v>
      </c>
      <c r="C206" s="147">
        <v>46105</v>
      </c>
      <c r="D206" s="14" t="s">
        <v>24</v>
      </c>
      <c r="E206" s="14" t="s">
        <v>753</v>
      </c>
      <c r="F206" s="14" t="s">
        <v>26</v>
      </c>
      <c r="G206" s="14" t="s">
        <v>754</v>
      </c>
      <c r="H206" s="14" t="s">
        <v>259</v>
      </c>
      <c r="I206" s="17" t="s">
        <v>37</v>
      </c>
      <c r="J206" s="17">
        <v>5</v>
      </c>
      <c r="K206" s="14" t="s">
        <v>38</v>
      </c>
      <c r="L206" s="17" t="s">
        <v>31</v>
      </c>
      <c r="M206" s="14" t="s">
        <v>934</v>
      </c>
      <c r="N206" s="7" t="s">
        <v>756</v>
      </c>
      <c r="O206" s="24" t="s">
        <v>757</v>
      </c>
      <c r="P206" s="24" t="s">
        <v>758</v>
      </c>
      <c r="R206" s="14" t="s">
        <v>33</v>
      </c>
      <c r="S206" s="14" t="s">
        <v>33</v>
      </c>
      <c r="T206" s="14" t="s">
        <v>935</v>
      </c>
    </row>
    <row r="207" spans="1:21" hidden="1">
      <c r="A207" s="37">
        <v>206</v>
      </c>
      <c r="B207" s="17" t="s">
        <v>740</v>
      </c>
      <c r="C207" s="147">
        <v>46105</v>
      </c>
      <c r="D207" s="14" t="s">
        <v>24</v>
      </c>
      <c r="E207" s="14" t="s">
        <v>936</v>
      </c>
      <c r="F207" s="14" t="s">
        <v>392</v>
      </c>
      <c r="G207" s="14" t="s">
        <v>46</v>
      </c>
      <c r="H207" s="14" t="s">
        <v>816</v>
      </c>
      <c r="I207" s="17" t="s">
        <v>62</v>
      </c>
      <c r="J207" s="17">
        <v>1</v>
      </c>
      <c r="K207" s="14" t="s">
        <v>141</v>
      </c>
      <c r="L207" s="17" t="s">
        <v>31</v>
      </c>
      <c r="M207" s="14" t="s">
        <v>937</v>
      </c>
      <c r="N207" s="7" t="s">
        <v>938</v>
      </c>
      <c r="O207" s="24" t="s">
        <v>939</v>
      </c>
      <c r="P207" s="24" t="s">
        <v>940</v>
      </c>
      <c r="R207" s="14" t="s">
        <v>33</v>
      </c>
      <c r="S207" s="14" t="s">
        <v>373</v>
      </c>
      <c r="T207" s="14" t="s">
        <v>941</v>
      </c>
    </row>
    <row r="208" spans="1:21" hidden="1">
      <c r="A208" s="37">
        <v>207</v>
      </c>
      <c r="B208" s="17" t="s">
        <v>740</v>
      </c>
      <c r="C208" s="147">
        <v>46105</v>
      </c>
      <c r="D208" s="14" t="s">
        <v>24</v>
      </c>
      <c r="E208" s="14" t="s">
        <v>251</v>
      </c>
      <c r="F208" s="14" t="s">
        <v>26</v>
      </c>
      <c r="G208" s="14" t="s">
        <v>252</v>
      </c>
      <c r="H208" s="14" t="s">
        <v>253</v>
      </c>
      <c r="I208" s="17" t="s">
        <v>29</v>
      </c>
      <c r="J208" s="17">
        <v>6</v>
      </c>
      <c r="K208" s="14" t="s">
        <v>30</v>
      </c>
      <c r="L208" s="17" t="s">
        <v>31</v>
      </c>
      <c r="M208" s="14" t="s">
        <v>942</v>
      </c>
      <c r="N208" s="7" t="s">
        <v>943</v>
      </c>
      <c r="O208" s="24" t="s">
        <v>944</v>
      </c>
      <c r="P208" s="24" t="s">
        <v>945</v>
      </c>
      <c r="R208" s="14" t="s">
        <v>33</v>
      </c>
      <c r="S208" s="14" t="s">
        <v>373</v>
      </c>
    </row>
    <row r="209" spans="1:23" hidden="1">
      <c r="A209" s="37">
        <v>208</v>
      </c>
      <c r="B209" s="17" t="s">
        <v>740</v>
      </c>
      <c r="C209" s="147">
        <v>46105</v>
      </c>
      <c r="D209" s="14" t="s">
        <v>24</v>
      </c>
      <c r="E209" s="14" t="s">
        <v>138</v>
      </c>
      <c r="F209" s="14" t="s">
        <v>26</v>
      </c>
      <c r="G209" s="14" t="s">
        <v>139</v>
      </c>
      <c r="H209" s="14" t="s">
        <v>589</v>
      </c>
      <c r="I209" s="17" t="s">
        <v>62</v>
      </c>
      <c r="J209" s="17" t="s">
        <v>31</v>
      </c>
      <c r="K209" s="14" t="s">
        <v>63</v>
      </c>
      <c r="L209" s="17" t="s">
        <v>31</v>
      </c>
      <c r="M209" s="14" t="s">
        <v>946</v>
      </c>
      <c r="N209" s="7" t="s">
        <v>947</v>
      </c>
      <c r="O209" s="24" t="s">
        <v>948</v>
      </c>
      <c r="P209" s="24" t="s">
        <v>949</v>
      </c>
      <c r="R209" s="14" t="s">
        <v>33</v>
      </c>
      <c r="S209" s="14" t="s">
        <v>373</v>
      </c>
    </row>
    <row r="210" spans="1:23" hidden="1">
      <c r="A210" s="37">
        <v>209</v>
      </c>
      <c r="B210" s="17" t="s">
        <v>740</v>
      </c>
      <c r="C210" s="147">
        <v>46106</v>
      </c>
      <c r="D210" s="14" t="s">
        <v>24</v>
      </c>
      <c r="E210" s="14" t="s">
        <v>65</v>
      </c>
      <c r="F210" s="14" t="s">
        <v>26</v>
      </c>
      <c r="G210" s="14" t="s">
        <v>27</v>
      </c>
      <c r="H210" s="14" t="s">
        <v>204</v>
      </c>
      <c r="I210" s="17" t="s">
        <v>29</v>
      </c>
      <c r="J210" s="17">
        <v>1</v>
      </c>
      <c r="K210" s="14" t="s">
        <v>38</v>
      </c>
      <c r="L210" s="17" t="s">
        <v>163</v>
      </c>
      <c r="M210" s="14" t="s">
        <v>950</v>
      </c>
      <c r="N210" s="7" t="s">
        <v>951</v>
      </c>
      <c r="O210" s="24" t="s">
        <v>952</v>
      </c>
      <c r="P210" s="24" t="s">
        <v>953</v>
      </c>
      <c r="R210" s="14" t="s">
        <v>33</v>
      </c>
      <c r="S210" s="14" t="s">
        <v>373</v>
      </c>
      <c r="T210" s="14" t="s">
        <v>954</v>
      </c>
    </row>
    <row r="211" spans="1:23" s="26" customFormat="1" hidden="1">
      <c r="A211" s="37">
        <v>210</v>
      </c>
      <c r="B211" s="28" t="s">
        <v>740</v>
      </c>
      <c r="C211" s="149">
        <v>46106</v>
      </c>
      <c r="D211" s="26" t="s">
        <v>24</v>
      </c>
      <c r="E211" s="26" t="s">
        <v>117</v>
      </c>
      <c r="F211" s="14" t="s">
        <v>26</v>
      </c>
      <c r="G211" s="26" t="s">
        <v>955</v>
      </c>
      <c r="H211" s="26" t="s">
        <v>956</v>
      </c>
      <c r="I211" s="28" t="s">
        <v>37</v>
      </c>
      <c r="J211" s="28">
        <v>2</v>
      </c>
      <c r="K211" s="26" t="s">
        <v>38</v>
      </c>
      <c r="L211" s="28" t="s">
        <v>31</v>
      </c>
      <c r="M211" s="26" t="s">
        <v>957</v>
      </c>
      <c r="N211" s="33" t="s">
        <v>958</v>
      </c>
      <c r="O211" s="138" t="s">
        <v>959</v>
      </c>
      <c r="P211" s="138" t="s">
        <v>960</v>
      </c>
      <c r="Q211" s="93"/>
      <c r="R211" s="26" t="s">
        <v>33</v>
      </c>
      <c r="S211" s="26" t="s">
        <v>373</v>
      </c>
      <c r="T211" s="26" t="s">
        <v>414</v>
      </c>
    </row>
    <row r="212" spans="1:23" s="26" customFormat="1" hidden="1">
      <c r="A212" s="37">
        <v>211</v>
      </c>
      <c r="B212" s="28" t="s">
        <v>740</v>
      </c>
      <c r="C212" s="149">
        <v>46107</v>
      </c>
      <c r="D212" s="26" t="s">
        <v>24</v>
      </c>
      <c r="E212" s="26" t="s">
        <v>138</v>
      </c>
      <c r="F212" s="14" t="s">
        <v>26</v>
      </c>
      <c r="G212" s="26" t="s">
        <v>139</v>
      </c>
      <c r="H212" s="26" t="s">
        <v>304</v>
      </c>
      <c r="I212" s="28" t="s">
        <v>62</v>
      </c>
      <c r="J212" s="28">
        <v>4</v>
      </c>
      <c r="K212" s="26" t="s">
        <v>38</v>
      </c>
      <c r="L212" s="28" t="s">
        <v>31</v>
      </c>
      <c r="M212" s="26" t="s">
        <v>961</v>
      </c>
      <c r="N212" s="33" t="s">
        <v>962</v>
      </c>
      <c r="O212" s="138" t="s">
        <v>963</v>
      </c>
      <c r="P212" s="138" t="s">
        <v>964</v>
      </c>
      <c r="Q212" s="93"/>
      <c r="R212" s="26" t="s">
        <v>33</v>
      </c>
      <c r="S212" s="26" t="s">
        <v>373</v>
      </c>
      <c r="T212" s="26" t="s">
        <v>466</v>
      </c>
    </row>
    <row r="213" spans="1:23" hidden="1">
      <c r="A213" s="37">
        <v>212</v>
      </c>
      <c r="B213" s="17" t="s">
        <v>740</v>
      </c>
      <c r="C213" s="147">
        <v>46107</v>
      </c>
      <c r="D213" s="14" t="s">
        <v>24</v>
      </c>
      <c r="E213" s="14" t="s">
        <v>216</v>
      </c>
      <c r="F213" s="14" t="s">
        <v>26</v>
      </c>
      <c r="G213" s="14" t="s">
        <v>408</v>
      </c>
      <c r="H213" s="14" t="s">
        <v>188</v>
      </c>
      <c r="I213" s="17" t="s">
        <v>37</v>
      </c>
      <c r="J213" s="17">
        <v>5</v>
      </c>
      <c r="K213" s="14" t="s">
        <v>194</v>
      </c>
      <c r="L213" s="17" t="s">
        <v>31</v>
      </c>
      <c r="M213" s="14" t="s">
        <v>965</v>
      </c>
      <c r="N213" s="7" t="s">
        <v>966</v>
      </c>
      <c r="O213" s="24" t="s">
        <v>967</v>
      </c>
      <c r="P213" s="24" t="s">
        <v>968</v>
      </c>
      <c r="R213" s="14" t="s">
        <v>33</v>
      </c>
      <c r="S213" s="14" t="s">
        <v>373</v>
      </c>
    </row>
    <row r="214" spans="1:23" hidden="1">
      <c r="A214" s="37">
        <v>213</v>
      </c>
      <c r="B214" s="17" t="s">
        <v>740</v>
      </c>
      <c r="C214" s="147">
        <v>46109</v>
      </c>
      <c r="D214" s="14" t="s">
        <v>24</v>
      </c>
      <c r="E214" s="14" t="s">
        <v>74</v>
      </c>
      <c r="F214" s="14" t="s">
        <v>26</v>
      </c>
      <c r="G214" s="14" t="s">
        <v>75</v>
      </c>
      <c r="H214" s="14" t="s">
        <v>76</v>
      </c>
      <c r="I214" s="17" t="s">
        <v>62</v>
      </c>
      <c r="J214" s="17">
        <v>6</v>
      </c>
      <c r="K214" s="14" t="s">
        <v>38</v>
      </c>
      <c r="L214" s="17" t="s">
        <v>31</v>
      </c>
      <c r="M214" s="14" t="s">
        <v>969</v>
      </c>
      <c r="N214" s="7" t="s">
        <v>970</v>
      </c>
      <c r="O214" s="24" t="s">
        <v>971</v>
      </c>
      <c r="P214" s="24" t="s">
        <v>972</v>
      </c>
      <c r="R214" s="14" t="s">
        <v>33</v>
      </c>
      <c r="S214" s="14" t="s">
        <v>373</v>
      </c>
    </row>
    <row r="215" spans="1:23" hidden="1">
      <c r="A215" s="37">
        <v>214</v>
      </c>
      <c r="B215" s="17" t="s">
        <v>740</v>
      </c>
      <c r="C215" s="147">
        <v>46109</v>
      </c>
      <c r="D215" s="14" t="s">
        <v>24</v>
      </c>
      <c r="E215" s="14" t="s">
        <v>59</v>
      </c>
      <c r="F215" s="14" t="s">
        <v>26</v>
      </c>
      <c r="G215" s="14" t="s">
        <v>60</v>
      </c>
      <c r="H215" s="14" t="s">
        <v>61</v>
      </c>
      <c r="I215" s="17" t="s">
        <v>62</v>
      </c>
      <c r="J215" s="17">
        <v>1</v>
      </c>
      <c r="K215" s="14" t="s">
        <v>38</v>
      </c>
      <c r="L215" s="17" t="s">
        <v>31</v>
      </c>
      <c r="M215" s="14" t="s">
        <v>973</v>
      </c>
      <c r="N215" s="7" t="s">
        <v>974</v>
      </c>
      <c r="O215" s="24" t="s">
        <v>975</v>
      </c>
      <c r="P215" s="24" t="s">
        <v>976</v>
      </c>
      <c r="R215" s="14" t="s">
        <v>43</v>
      </c>
      <c r="S215" s="14" t="s">
        <v>43</v>
      </c>
      <c r="T215" s="14" t="s">
        <v>977</v>
      </c>
      <c r="U215" s="14" t="s">
        <v>43</v>
      </c>
    </row>
    <row r="216" spans="1:23" hidden="1">
      <c r="A216" s="37">
        <v>215</v>
      </c>
      <c r="B216" s="17" t="s">
        <v>740</v>
      </c>
      <c r="C216" s="147">
        <v>46109</v>
      </c>
      <c r="D216" s="14" t="s">
        <v>24</v>
      </c>
      <c r="E216" s="14" t="s">
        <v>978</v>
      </c>
      <c r="F216" s="14" t="s">
        <v>26</v>
      </c>
      <c r="G216" s="14" t="s">
        <v>60</v>
      </c>
      <c r="H216" s="14" t="s">
        <v>979</v>
      </c>
      <c r="I216" s="17" t="s">
        <v>62</v>
      </c>
      <c r="J216" s="17" t="s">
        <v>31</v>
      </c>
      <c r="K216" s="14" t="s">
        <v>63</v>
      </c>
      <c r="L216" s="17" t="s">
        <v>31</v>
      </c>
      <c r="M216" s="14" t="s">
        <v>980</v>
      </c>
      <c r="N216" s="7" t="s">
        <v>974</v>
      </c>
      <c r="O216" s="24" t="s">
        <v>975</v>
      </c>
      <c r="P216" s="24" t="s">
        <v>981</v>
      </c>
      <c r="R216" s="14" t="s">
        <v>43</v>
      </c>
      <c r="S216" s="14" t="s">
        <v>43</v>
      </c>
      <c r="T216" s="14" t="s">
        <v>977</v>
      </c>
      <c r="U216" s="14" t="s">
        <v>43</v>
      </c>
    </row>
    <row r="217" spans="1:23" hidden="1">
      <c r="A217" s="37">
        <v>216</v>
      </c>
      <c r="B217" s="17" t="s">
        <v>740</v>
      </c>
      <c r="C217" s="147">
        <v>46110</v>
      </c>
      <c r="D217" s="14" t="s">
        <v>24</v>
      </c>
      <c r="E217" s="14" t="s">
        <v>74</v>
      </c>
      <c r="F217" s="14" t="s">
        <v>26</v>
      </c>
      <c r="G217" s="14" t="s">
        <v>401</v>
      </c>
      <c r="H217" s="14" t="s">
        <v>230</v>
      </c>
      <c r="I217" s="17" t="s">
        <v>62</v>
      </c>
      <c r="J217" s="17" t="s">
        <v>31</v>
      </c>
      <c r="K217" s="14" t="s">
        <v>63</v>
      </c>
      <c r="L217" s="17" t="s">
        <v>31</v>
      </c>
      <c r="M217" s="14" t="s">
        <v>982</v>
      </c>
      <c r="N217" s="7" t="s">
        <v>983</v>
      </c>
      <c r="O217" s="24" t="s">
        <v>984</v>
      </c>
      <c r="P217" s="24" t="s">
        <v>985</v>
      </c>
      <c r="R217" s="14" t="s">
        <v>33</v>
      </c>
      <c r="S217" s="14" t="s">
        <v>373</v>
      </c>
      <c r="T217" s="14" t="s">
        <v>986</v>
      </c>
    </row>
    <row r="218" spans="1:23" hidden="1">
      <c r="A218" s="37">
        <v>217</v>
      </c>
      <c r="B218" s="17" t="s">
        <v>740</v>
      </c>
      <c r="C218" s="147">
        <v>46111</v>
      </c>
      <c r="D218" s="14" t="s">
        <v>24</v>
      </c>
      <c r="E218" s="14" t="s">
        <v>236</v>
      </c>
      <c r="F218" s="14" t="s">
        <v>26</v>
      </c>
      <c r="G218" s="14" t="s">
        <v>987</v>
      </c>
      <c r="H218" s="14" t="s">
        <v>988</v>
      </c>
      <c r="I218" s="17" t="s">
        <v>37</v>
      </c>
      <c r="J218" s="17">
        <v>5</v>
      </c>
      <c r="K218" s="14" t="s">
        <v>194</v>
      </c>
      <c r="L218" s="17" t="s">
        <v>31</v>
      </c>
      <c r="M218" s="14" t="s">
        <v>989</v>
      </c>
      <c r="N218" s="7" t="s">
        <v>990</v>
      </c>
      <c r="O218" s="24" t="s">
        <v>991</v>
      </c>
      <c r="P218" s="24" t="s">
        <v>992</v>
      </c>
      <c r="R218" s="14" t="s">
        <v>43</v>
      </c>
      <c r="S218" s="14" t="s">
        <v>33</v>
      </c>
    </row>
    <row r="219" spans="1:23" hidden="1">
      <c r="A219" s="37">
        <v>218</v>
      </c>
      <c r="B219" s="17" t="s">
        <v>993</v>
      </c>
      <c r="C219" s="147">
        <v>46113</v>
      </c>
      <c r="D219" s="14" t="s">
        <v>24</v>
      </c>
      <c r="E219" s="14" t="s">
        <v>428</v>
      </c>
      <c r="F219" s="14" t="s">
        <v>26</v>
      </c>
      <c r="G219" s="14" t="s">
        <v>994</v>
      </c>
      <c r="H219" s="14" t="s">
        <v>430</v>
      </c>
      <c r="I219" s="17" t="s">
        <v>29</v>
      </c>
      <c r="J219" s="17">
        <v>6</v>
      </c>
      <c r="K219" s="14" t="s">
        <v>30</v>
      </c>
      <c r="L219" s="17" t="s">
        <v>31</v>
      </c>
      <c r="M219" s="14" t="s">
        <v>995</v>
      </c>
      <c r="N219" s="7" t="s">
        <v>996</v>
      </c>
      <c r="O219" s="24" t="s">
        <v>997</v>
      </c>
      <c r="P219" s="24" t="s">
        <v>998</v>
      </c>
      <c r="Q219" s="25" t="s">
        <v>43</v>
      </c>
      <c r="R219" s="14" t="s">
        <v>43</v>
      </c>
      <c r="S219" s="14" t="s">
        <v>33</v>
      </c>
    </row>
    <row r="220" spans="1:23" hidden="1">
      <c r="A220" s="37">
        <v>219</v>
      </c>
      <c r="B220" s="17" t="s">
        <v>993</v>
      </c>
      <c r="C220" s="147">
        <v>46113</v>
      </c>
      <c r="D220" s="14" t="s">
        <v>24</v>
      </c>
      <c r="E220" s="14" t="s">
        <v>45</v>
      </c>
      <c r="F220" s="14" t="s">
        <v>26</v>
      </c>
      <c r="G220" s="14" t="s">
        <v>795</v>
      </c>
      <c r="H220" s="14" t="s">
        <v>47</v>
      </c>
      <c r="I220" s="17" t="s">
        <v>29</v>
      </c>
      <c r="J220" s="17">
        <v>2</v>
      </c>
      <c r="K220" s="14" t="s">
        <v>38</v>
      </c>
      <c r="L220" s="17" t="s">
        <v>31</v>
      </c>
      <c r="M220" s="14" t="s">
        <v>999</v>
      </c>
      <c r="N220" s="7" t="s">
        <v>1000</v>
      </c>
      <c r="O220" s="24" t="s">
        <v>1001</v>
      </c>
      <c r="P220" s="24" t="s">
        <v>1002</v>
      </c>
      <c r="Q220" s="25" t="s">
        <v>43</v>
      </c>
      <c r="R220" s="14" t="s">
        <v>43</v>
      </c>
      <c r="S220" s="14" t="s">
        <v>33</v>
      </c>
      <c r="T220" s="14" t="s">
        <v>1003</v>
      </c>
    </row>
    <row r="221" spans="1:23" hidden="1">
      <c r="A221" s="37">
        <v>220</v>
      </c>
      <c r="B221" s="17" t="s">
        <v>993</v>
      </c>
      <c r="C221" s="147">
        <v>46113</v>
      </c>
      <c r="D221" s="14" t="s">
        <v>24</v>
      </c>
      <c r="E221" s="14" t="s">
        <v>117</v>
      </c>
      <c r="F221" s="14" t="s">
        <v>26</v>
      </c>
      <c r="G221" s="14" t="s">
        <v>955</v>
      </c>
      <c r="H221" s="14" t="s">
        <v>741</v>
      </c>
      <c r="I221" s="17" t="s">
        <v>62</v>
      </c>
      <c r="J221" s="17">
        <v>1</v>
      </c>
      <c r="K221" s="14" t="s">
        <v>63</v>
      </c>
      <c r="L221" s="17" t="s">
        <v>31</v>
      </c>
      <c r="M221" s="14" t="s">
        <v>1004</v>
      </c>
      <c r="N221" s="7" t="s">
        <v>1005</v>
      </c>
      <c r="O221" s="24" t="s">
        <v>1006</v>
      </c>
      <c r="P221" s="24" t="s">
        <v>1007</v>
      </c>
      <c r="Q221" s="25" t="s">
        <v>43</v>
      </c>
      <c r="R221" s="14" t="s">
        <v>33</v>
      </c>
      <c r="S221" s="14" t="s">
        <v>373</v>
      </c>
      <c r="T221" s="14" t="s">
        <v>488</v>
      </c>
      <c r="W221" s="14" t="s">
        <v>1008</v>
      </c>
    </row>
    <row r="222" spans="1:23" hidden="1">
      <c r="A222" s="37">
        <v>221</v>
      </c>
      <c r="B222" s="17" t="s">
        <v>993</v>
      </c>
      <c r="C222" s="147">
        <v>46114</v>
      </c>
      <c r="D222" s="14" t="s">
        <v>24</v>
      </c>
      <c r="E222" s="14" t="s">
        <v>82</v>
      </c>
      <c r="F222" s="14" t="s">
        <v>26</v>
      </c>
      <c r="G222" s="14" t="s">
        <v>83</v>
      </c>
      <c r="H222" s="14" t="s">
        <v>154</v>
      </c>
      <c r="I222" s="17" t="s">
        <v>62</v>
      </c>
      <c r="J222" s="17" t="s">
        <v>31</v>
      </c>
      <c r="K222" s="14" t="s">
        <v>63</v>
      </c>
      <c r="L222" s="17" t="s">
        <v>31</v>
      </c>
      <c r="M222" s="14" t="s">
        <v>1009</v>
      </c>
      <c r="N222" s="7" t="s">
        <v>1010</v>
      </c>
      <c r="O222" s="24" t="s">
        <v>1011</v>
      </c>
      <c r="P222" s="24" t="s">
        <v>1012</v>
      </c>
      <c r="Q222" s="25" t="s">
        <v>43</v>
      </c>
      <c r="R222" s="14" t="s">
        <v>33</v>
      </c>
      <c r="S222" s="14" t="s">
        <v>373</v>
      </c>
      <c r="T222" s="14" t="s">
        <v>488</v>
      </c>
      <c r="W222" s="14" t="s">
        <v>1008</v>
      </c>
    </row>
    <row r="223" spans="1:23">
      <c r="A223" s="37">
        <v>222</v>
      </c>
      <c r="B223" s="17" t="s">
        <v>993</v>
      </c>
      <c r="C223" s="147">
        <v>46115</v>
      </c>
      <c r="D223" s="14" t="s">
        <v>24</v>
      </c>
      <c r="E223" s="14" t="s">
        <v>96</v>
      </c>
      <c r="F223" s="14" t="s">
        <v>26</v>
      </c>
      <c r="G223" s="14" t="s">
        <v>97</v>
      </c>
      <c r="H223" s="14" t="s">
        <v>596</v>
      </c>
      <c r="I223" s="17" t="s">
        <v>62</v>
      </c>
      <c r="J223" s="17">
        <v>1</v>
      </c>
      <c r="K223" s="14" t="s">
        <v>90</v>
      </c>
      <c r="L223" s="17" t="s">
        <v>31</v>
      </c>
      <c r="M223" s="14" t="s">
        <v>1013</v>
      </c>
      <c r="N223" s="7" t="s">
        <v>930</v>
      </c>
      <c r="O223" s="24" t="s">
        <v>931</v>
      </c>
      <c r="P223" s="24" t="s">
        <v>932</v>
      </c>
      <c r="Q223" s="25" t="s">
        <v>43</v>
      </c>
      <c r="R223" s="14" t="s">
        <v>43</v>
      </c>
      <c r="S223" s="14" t="s">
        <v>43</v>
      </c>
      <c r="T223" s="14" t="s">
        <v>1014</v>
      </c>
      <c r="U223" s="14" t="s">
        <v>43</v>
      </c>
    </row>
    <row r="224" spans="1:23" hidden="1">
      <c r="A224" s="37">
        <v>223</v>
      </c>
      <c r="B224" s="17" t="s">
        <v>993</v>
      </c>
      <c r="C224" s="147">
        <v>46115</v>
      </c>
      <c r="D224" s="14" t="s">
        <v>24</v>
      </c>
      <c r="E224" s="14" t="s">
        <v>138</v>
      </c>
      <c r="F224" s="14" t="s">
        <v>26</v>
      </c>
      <c r="G224" s="14" t="s">
        <v>118</v>
      </c>
      <c r="H224" s="14" t="s">
        <v>589</v>
      </c>
      <c r="I224" s="17" t="s">
        <v>62</v>
      </c>
      <c r="J224" s="17">
        <v>2</v>
      </c>
      <c r="K224" s="14" t="s">
        <v>38</v>
      </c>
      <c r="L224" s="17" t="s">
        <v>31</v>
      </c>
      <c r="M224" s="14" t="s">
        <v>1015</v>
      </c>
      <c r="N224" s="7" t="s">
        <v>1016</v>
      </c>
      <c r="O224" s="24" t="s">
        <v>1017</v>
      </c>
      <c r="P224" s="24" t="s">
        <v>1018</v>
      </c>
      <c r="Q224" s="25" t="s">
        <v>43</v>
      </c>
      <c r="R224" s="14" t="s">
        <v>43</v>
      </c>
      <c r="S224" s="14" t="s">
        <v>43</v>
      </c>
      <c r="T224" s="14" t="s">
        <v>1019</v>
      </c>
      <c r="U224" s="14" t="s">
        <v>43</v>
      </c>
    </row>
    <row r="225" spans="1:23" hidden="1">
      <c r="A225" s="37">
        <v>224</v>
      </c>
      <c r="B225" s="17" t="s">
        <v>993</v>
      </c>
      <c r="C225" s="147">
        <v>46115</v>
      </c>
      <c r="D225" s="14" t="s">
        <v>24</v>
      </c>
      <c r="E225" s="14" t="s">
        <v>138</v>
      </c>
      <c r="F225" s="14" t="s">
        <v>26</v>
      </c>
      <c r="G225" s="14" t="s">
        <v>118</v>
      </c>
      <c r="H225" s="14" t="s">
        <v>589</v>
      </c>
      <c r="I225" s="17" t="s">
        <v>62</v>
      </c>
      <c r="J225" s="17">
        <v>2</v>
      </c>
      <c r="K225" s="14" t="s">
        <v>63</v>
      </c>
      <c r="L225" s="17" t="s">
        <v>31</v>
      </c>
      <c r="M225" s="14" t="s">
        <v>1020</v>
      </c>
      <c r="N225" s="7" t="s">
        <v>1016</v>
      </c>
      <c r="O225" s="24" t="s">
        <v>1017</v>
      </c>
      <c r="P225" s="24" t="s">
        <v>1018</v>
      </c>
      <c r="Q225" s="25" t="s">
        <v>43</v>
      </c>
      <c r="R225" s="14" t="s">
        <v>43</v>
      </c>
      <c r="S225" s="14" t="s">
        <v>43</v>
      </c>
      <c r="T225" s="14" t="s">
        <v>1019</v>
      </c>
      <c r="U225" s="14" t="s">
        <v>43</v>
      </c>
    </row>
    <row r="226" spans="1:23">
      <c r="A226" s="37">
        <v>225</v>
      </c>
      <c r="B226" s="17" t="s">
        <v>993</v>
      </c>
      <c r="C226" s="147">
        <v>46115</v>
      </c>
      <c r="D226" s="14" t="s">
        <v>24</v>
      </c>
      <c r="E226" s="14" t="s">
        <v>96</v>
      </c>
      <c r="F226" s="14" t="s">
        <v>26</v>
      </c>
      <c r="G226" s="14" t="s">
        <v>144</v>
      </c>
      <c r="H226" s="14" t="s">
        <v>98</v>
      </c>
      <c r="I226" s="17" t="s">
        <v>29</v>
      </c>
      <c r="J226" s="17">
        <v>2</v>
      </c>
      <c r="K226" s="14" t="s">
        <v>38</v>
      </c>
      <c r="L226" s="17" t="s">
        <v>31</v>
      </c>
      <c r="M226" s="14" t="s">
        <v>1021</v>
      </c>
      <c r="N226" s="7" t="s">
        <v>1022</v>
      </c>
      <c r="O226" s="24" t="s">
        <v>1023</v>
      </c>
      <c r="P226" s="24" t="s">
        <v>1024</v>
      </c>
      <c r="Q226" s="25" t="s">
        <v>43</v>
      </c>
      <c r="R226" s="14" t="s">
        <v>43</v>
      </c>
      <c r="S226" s="14" t="s">
        <v>43</v>
      </c>
      <c r="T226" s="14" t="s">
        <v>1025</v>
      </c>
      <c r="U226" s="14" t="s">
        <v>43</v>
      </c>
      <c r="V226" s="14" t="s">
        <v>1026</v>
      </c>
    </row>
    <row r="227" spans="1:23">
      <c r="A227" s="37">
        <v>226</v>
      </c>
      <c r="B227" s="17" t="s">
        <v>993</v>
      </c>
      <c r="C227" s="147">
        <v>46116</v>
      </c>
      <c r="D227" s="14" t="s">
        <v>24</v>
      </c>
      <c r="E227" s="14" t="s">
        <v>96</v>
      </c>
      <c r="F227" s="14" t="s">
        <v>26</v>
      </c>
      <c r="G227" s="14" t="s">
        <v>97</v>
      </c>
      <c r="H227" s="14" t="s">
        <v>596</v>
      </c>
      <c r="I227" s="17" t="s">
        <v>62</v>
      </c>
      <c r="J227" s="17">
        <v>6</v>
      </c>
      <c r="K227" s="14" t="s">
        <v>38</v>
      </c>
      <c r="L227" s="17" t="s">
        <v>31</v>
      </c>
      <c r="M227" s="14" t="s">
        <v>1027</v>
      </c>
      <c r="N227" s="7" t="s">
        <v>1028</v>
      </c>
      <c r="O227" s="24" t="s">
        <v>1029</v>
      </c>
      <c r="P227" s="24" t="s">
        <v>1030</v>
      </c>
      <c r="Q227" s="25" t="s">
        <v>43</v>
      </c>
      <c r="R227" s="14" t="s">
        <v>43</v>
      </c>
      <c r="S227" s="14" t="s">
        <v>33</v>
      </c>
      <c r="V227" s="14" t="s">
        <v>1026</v>
      </c>
    </row>
    <row r="228" spans="1:23" hidden="1">
      <c r="A228" s="37">
        <v>227</v>
      </c>
      <c r="B228" s="17" t="s">
        <v>993</v>
      </c>
      <c r="C228" s="147">
        <v>46116</v>
      </c>
      <c r="D228" s="14" t="s">
        <v>24</v>
      </c>
      <c r="E228" s="14" t="s">
        <v>1031</v>
      </c>
      <c r="F228" s="14" t="s">
        <v>26</v>
      </c>
      <c r="G228" s="14" t="s">
        <v>955</v>
      </c>
      <c r="H228" s="14" t="s">
        <v>796</v>
      </c>
      <c r="I228" s="17" t="s">
        <v>29</v>
      </c>
      <c r="J228" s="17">
        <v>6</v>
      </c>
      <c r="K228" s="14" t="s">
        <v>30</v>
      </c>
      <c r="L228" s="17" t="s">
        <v>31</v>
      </c>
      <c r="M228" s="14" t="s">
        <v>1032</v>
      </c>
      <c r="N228" s="7" t="s">
        <v>1033</v>
      </c>
      <c r="O228" s="24" t="s">
        <v>1034</v>
      </c>
      <c r="P228" s="24" t="s">
        <v>1035</v>
      </c>
      <c r="Q228" s="25" t="s">
        <v>43</v>
      </c>
      <c r="R228" s="14" t="s">
        <v>43</v>
      </c>
      <c r="S228" s="14" t="s">
        <v>33</v>
      </c>
      <c r="V228" s="14" t="s">
        <v>1026</v>
      </c>
    </row>
    <row r="229" spans="1:23" hidden="1">
      <c r="A229" s="37">
        <v>228</v>
      </c>
      <c r="B229" s="17" t="s">
        <v>993</v>
      </c>
      <c r="C229" s="147">
        <v>46117</v>
      </c>
      <c r="D229" s="14" t="s">
        <v>24</v>
      </c>
      <c r="E229" s="14" t="s">
        <v>117</v>
      </c>
      <c r="F229" s="14" t="s">
        <v>26</v>
      </c>
      <c r="G229" s="14" t="s">
        <v>955</v>
      </c>
      <c r="H229" s="14" t="s">
        <v>1036</v>
      </c>
      <c r="I229" s="17" t="s">
        <v>37</v>
      </c>
      <c r="J229" s="17">
        <v>3</v>
      </c>
      <c r="K229" s="14" t="s">
        <v>194</v>
      </c>
      <c r="L229" s="17" t="s">
        <v>31</v>
      </c>
      <c r="M229" s="14" t="s">
        <v>1037</v>
      </c>
      <c r="N229" s="7" t="s">
        <v>958</v>
      </c>
      <c r="O229" s="24" t="s">
        <v>959</v>
      </c>
      <c r="P229" s="24" t="s">
        <v>960</v>
      </c>
      <c r="Q229" s="25" t="s">
        <v>43</v>
      </c>
      <c r="R229" s="14" t="s">
        <v>43</v>
      </c>
      <c r="S229" s="14" t="s">
        <v>43</v>
      </c>
      <c r="T229" s="14" t="s">
        <v>1038</v>
      </c>
      <c r="U229" s="14" t="s">
        <v>43</v>
      </c>
      <c r="V229" s="14" t="s">
        <v>1026</v>
      </c>
    </row>
    <row r="230" spans="1:23" s="26" customFormat="1" hidden="1">
      <c r="A230" s="37">
        <v>229</v>
      </c>
      <c r="B230" s="28" t="s">
        <v>993</v>
      </c>
      <c r="C230" s="149">
        <v>46118</v>
      </c>
      <c r="D230" s="26" t="s">
        <v>24</v>
      </c>
      <c r="E230" s="26" t="s">
        <v>621</v>
      </c>
      <c r="F230" s="26" t="s">
        <v>392</v>
      </c>
      <c r="G230" s="26" t="s">
        <v>1039</v>
      </c>
      <c r="H230" s="26" t="s">
        <v>658</v>
      </c>
      <c r="I230" s="28" t="s">
        <v>37</v>
      </c>
      <c r="J230" s="28">
        <v>1</v>
      </c>
      <c r="K230" s="26" t="s">
        <v>38</v>
      </c>
      <c r="L230" s="28" t="s">
        <v>31</v>
      </c>
      <c r="M230" s="26" t="s">
        <v>1040</v>
      </c>
      <c r="N230" s="33" t="s">
        <v>1041</v>
      </c>
      <c r="O230" s="138" t="s">
        <v>1042</v>
      </c>
      <c r="P230" s="138" t="s">
        <v>1043</v>
      </c>
      <c r="Q230" s="93" t="s">
        <v>43</v>
      </c>
      <c r="T230" s="26" t="s">
        <v>1044</v>
      </c>
      <c r="V230" s="26" t="s">
        <v>1026</v>
      </c>
    </row>
    <row r="231" spans="1:23" hidden="1">
      <c r="A231" s="37">
        <v>230</v>
      </c>
      <c r="B231" s="17" t="s">
        <v>993</v>
      </c>
      <c r="C231" s="147">
        <v>46118</v>
      </c>
      <c r="D231" s="14" t="s">
        <v>24</v>
      </c>
      <c r="E231" s="14" t="s">
        <v>936</v>
      </c>
      <c r="F231" s="14" t="s">
        <v>26</v>
      </c>
      <c r="G231" s="14" t="s">
        <v>46</v>
      </c>
      <c r="H231" s="14" t="s">
        <v>1045</v>
      </c>
      <c r="I231" s="17" t="s">
        <v>62</v>
      </c>
      <c r="J231" s="17">
        <v>6</v>
      </c>
      <c r="K231" s="14" t="s">
        <v>90</v>
      </c>
      <c r="L231" s="17" t="s">
        <v>31</v>
      </c>
      <c r="M231" s="14" t="s">
        <v>1046</v>
      </c>
      <c r="N231" s="7" t="s">
        <v>1047</v>
      </c>
      <c r="O231" s="24" t="s">
        <v>1048</v>
      </c>
      <c r="P231" s="24" t="s">
        <v>1049</v>
      </c>
      <c r="Q231" s="25" t="s">
        <v>43</v>
      </c>
      <c r="R231" s="14" t="s">
        <v>43</v>
      </c>
      <c r="S231" s="14" t="s">
        <v>43</v>
      </c>
      <c r="T231" s="14" t="s">
        <v>1050</v>
      </c>
      <c r="V231" s="14" t="s">
        <v>1051</v>
      </c>
    </row>
    <row r="232" spans="1:23" hidden="1">
      <c r="A232" s="37">
        <v>231</v>
      </c>
      <c r="B232" s="17" t="s">
        <v>993</v>
      </c>
      <c r="C232" s="147">
        <v>46118</v>
      </c>
      <c r="D232" s="14" t="s">
        <v>24</v>
      </c>
      <c r="E232" s="14" t="s">
        <v>784</v>
      </c>
      <c r="F232" s="14" t="s">
        <v>26</v>
      </c>
      <c r="G232" s="14" t="s">
        <v>269</v>
      </c>
      <c r="H232" s="14" t="s">
        <v>1052</v>
      </c>
      <c r="I232" s="17" t="s">
        <v>62</v>
      </c>
      <c r="J232" s="17">
        <v>5</v>
      </c>
      <c r="K232" s="14" t="s">
        <v>38</v>
      </c>
      <c r="L232" s="17" t="s">
        <v>31</v>
      </c>
      <c r="M232" s="14" t="s">
        <v>1053</v>
      </c>
      <c r="N232" s="7" t="s">
        <v>1054</v>
      </c>
      <c r="O232" s="24" t="s">
        <v>1055</v>
      </c>
      <c r="P232" s="24" t="s">
        <v>1056</v>
      </c>
      <c r="Q232" s="25" t="s">
        <v>43</v>
      </c>
      <c r="R232" s="14" t="s">
        <v>43</v>
      </c>
      <c r="S232" s="14" t="s">
        <v>33</v>
      </c>
      <c r="V232" s="14" t="s">
        <v>1051</v>
      </c>
    </row>
    <row r="233" spans="1:23" hidden="1">
      <c r="A233" s="37">
        <v>232</v>
      </c>
      <c r="B233" s="17" t="s">
        <v>993</v>
      </c>
      <c r="C233" s="147">
        <v>46118</v>
      </c>
      <c r="D233" s="14" t="s">
        <v>24</v>
      </c>
      <c r="E233" s="14" t="s">
        <v>59</v>
      </c>
      <c r="F233" s="14" t="s">
        <v>392</v>
      </c>
      <c r="G233" s="14" t="s">
        <v>60</v>
      </c>
      <c r="H233" s="14" t="s">
        <v>61</v>
      </c>
      <c r="I233" s="17" t="s">
        <v>37</v>
      </c>
      <c r="J233" s="17">
        <v>1</v>
      </c>
      <c r="K233" s="14" t="s">
        <v>38</v>
      </c>
      <c r="L233" s="17" t="s">
        <v>31</v>
      </c>
      <c r="M233" s="14" t="s">
        <v>1057</v>
      </c>
      <c r="N233" s="7" t="s">
        <v>974</v>
      </c>
      <c r="O233" s="24" t="s">
        <v>975</v>
      </c>
      <c r="P233" s="24" t="s">
        <v>976</v>
      </c>
      <c r="Q233" s="25" t="s">
        <v>43</v>
      </c>
      <c r="R233" s="14" t="s">
        <v>43</v>
      </c>
      <c r="S233" s="14" t="s">
        <v>43</v>
      </c>
      <c r="T233" s="14" t="s">
        <v>1058</v>
      </c>
      <c r="V233" s="14" t="s">
        <v>1051</v>
      </c>
    </row>
    <row r="234" spans="1:23" hidden="1">
      <c r="A234" s="37">
        <v>233</v>
      </c>
      <c r="B234" s="17" t="s">
        <v>993</v>
      </c>
      <c r="C234" s="147">
        <v>46118</v>
      </c>
      <c r="D234" s="14" t="s">
        <v>24</v>
      </c>
      <c r="E234" s="14" t="s">
        <v>1059</v>
      </c>
      <c r="F234" s="14" t="s">
        <v>392</v>
      </c>
      <c r="G234" s="14" t="s">
        <v>1060</v>
      </c>
      <c r="H234" s="14" t="s">
        <v>1061</v>
      </c>
      <c r="I234" s="17" t="s">
        <v>62</v>
      </c>
      <c r="J234" s="17">
        <v>1</v>
      </c>
      <c r="K234" s="14" t="s">
        <v>38</v>
      </c>
      <c r="L234" s="17" t="s">
        <v>31</v>
      </c>
      <c r="M234" s="14" t="s">
        <v>1062</v>
      </c>
      <c r="N234" s="7" t="s">
        <v>1063</v>
      </c>
      <c r="O234" s="24" t="s">
        <v>1064</v>
      </c>
      <c r="P234" s="24" t="s">
        <v>1065</v>
      </c>
      <c r="Q234" s="25" t="s">
        <v>43</v>
      </c>
      <c r="R234" s="14" t="s">
        <v>43</v>
      </c>
      <c r="S234" s="14" t="s">
        <v>43</v>
      </c>
      <c r="T234" s="14" t="s">
        <v>1066</v>
      </c>
      <c r="V234" s="14" t="s">
        <v>1051</v>
      </c>
    </row>
    <row r="235" spans="1:23" hidden="1">
      <c r="A235" s="37">
        <v>234</v>
      </c>
      <c r="B235" s="17" t="s">
        <v>993</v>
      </c>
      <c r="C235" s="147">
        <v>46118</v>
      </c>
      <c r="D235" s="14" t="s">
        <v>24</v>
      </c>
      <c r="E235" s="14" t="s">
        <v>74</v>
      </c>
      <c r="F235" s="14" t="s">
        <v>26</v>
      </c>
      <c r="G235" s="14" t="s">
        <v>769</v>
      </c>
      <c r="H235" s="14" t="s">
        <v>344</v>
      </c>
      <c r="I235" s="17" t="s">
        <v>29</v>
      </c>
      <c r="J235" s="17">
        <v>1</v>
      </c>
      <c r="K235" s="14" t="s">
        <v>555</v>
      </c>
      <c r="L235" s="17" t="s">
        <v>1067</v>
      </c>
      <c r="M235" s="14" t="s">
        <v>1068</v>
      </c>
      <c r="N235" s="7" t="s">
        <v>1069</v>
      </c>
      <c r="O235" s="24" t="s">
        <v>1070</v>
      </c>
      <c r="P235" s="24" t="s">
        <v>1071</v>
      </c>
      <c r="Q235" s="25" t="s">
        <v>43</v>
      </c>
      <c r="R235" s="14" t="s">
        <v>43</v>
      </c>
      <c r="S235" s="14" t="s">
        <v>33</v>
      </c>
      <c r="T235" s="14" t="s">
        <v>1072</v>
      </c>
      <c r="V235" s="14" t="s">
        <v>1051</v>
      </c>
    </row>
    <row r="236" spans="1:23" hidden="1">
      <c r="A236" s="37">
        <v>235</v>
      </c>
      <c r="B236" s="17" t="s">
        <v>993</v>
      </c>
      <c r="C236" s="147">
        <v>46119</v>
      </c>
      <c r="D236" s="14" t="s">
        <v>24</v>
      </c>
      <c r="E236" s="14" t="s">
        <v>1059</v>
      </c>
      <c r="F236" s="14" t="s">
        <v>26</v>
      </c>
      <c r="G236" s="14" t="s">
        <v>1060</v>
      </c>
      <c r="H236" s="14" t="s">
        <v>561</v>
      </c>
      <c r="I236" s="17" t="s">
        <v>29</v>
      </c>
      <c r="J236" s="17">
        <v>1</v>
      </c>
      <c r="K236" s="14" t="s">
        <v>1073</v>
      </c>
      <c r="L236" s="17" t="s">
        <v>31</v>
      </c>
      <c r="M236" s="14" t="s">
        <v>1074</v>
      </c>
      <c r="N236" s="7" t="s">
        <v>1075</v>
      </c>
      <c r="O236" s="24" t="s">
        <v>1076</v>
      </c>
      <c r="P236" s="127" t="s">
        <v>1077</v>
      </c>
      <c r="Q236" s="143" t="s">
        <v>43</v>
      </c>
      <c r="R236" s="38" t="s">
        <v>43</v>
      </c>
      <c r="S236" s="38" t="s">
        <v>33</v>
      </c>
      <c r="T236" s="38" t="s">
        <v>1078</v>
      </c>
      <c r="U236" s="38"/>
      <c r="V236" s="38" t="s">
        <v>1079</v>
      </c>
    </row>
    <row r="237" spans="1:23" hidden="1">
      <c r="A237" s="37">
        <v>236</v>
      </c>
      <c r="B237" s="17" t="s">
        <v>993</v>
      </c>
      <c r="C237" s="147">
        <v>46121</v>
      </c>
      <c r="D237" s="14" t="s">
        <v>24</v>
      </c>
      <c r="E237" s="14" t="s">
        <v>178</v>
      </c>
      <c r="F237" s="14" t="s">
        <v>26</v>
      </c>
      <c r="G237" s="14" t="s">
        <v>824</v>
      </c>
      <c r="H237" s="14" t="s">
        <v>1080</v>
      </c>
      <c r="I237" s="17" t="s">
        <v>62</v>
      </c>
      <c r="J237" s="17" t="s">
        <v>31</v>
      </c>
      <c r="K237" s="14" t="s">
        <v>63</v>
      </c>
      <c r="L237" s="17" t="s">
        <v>31</v>
      </c>
      <c r="M237" s="14" t="s">
        <v>1081</v>
      </c>
      <c r="N237" s="7" t="s">
        <v>1082</v>
      </c>
      <c r="O237" s="73" t="s">
        <v>1083</v>
      </c>
      <c r="P237" s="127" t="s">
        <v>1084</v>
      </c>
      <c r="Q237" s="143" t="s">
        <v>43</v>
      </c>
      <c r="R237" s="38" t="s">
        <v>43</v>
      </c>
      <c r="S237" s="38" t="s">
        <v>33</v>
      </c>
      <c r="T237" s="38" t="s">
        <v>1085</v>
      </c>
      <c r="U237" s="38"/>
      <c r="V237" s="38" t="s">
        <v>1079</v>
      </c>
    </row>
    <row r="238" spans="1:23" hidden="1">
      <c r="A238" s="37">
        <v>237</v>
      </c>
      <c r="B238" s="17" t="s">
        <v>993</v>
      </c>
      <c r="C238" s="147">
        <v>46121</v>
      </c>
      <c r="D238" s="14" t="s">
        <v>24</v>
      </c>
      <c r="E238" s="14" t="s">
        <v>65</v>
      </c>
      <c r="F238" s="14" t="s">
        <v>392</v>
      </c>
      <c r="G238" s="14" t="s">
        <v>27</v>
      </c>
      <c r="H238" s="14" t="s">
        <v>204</v>
      </c>
      <c r="I238" s="17" t="s">
        <v>37</v>
      </c>
      <c r="J238" s="17">
        <v>6</v>
      </c>
      <c r="K238" s="14" t="s">
        <v>194</v>
      </c>
      <c r="L238" s="17" t="s">
        <v>31</v>
      </c>
      <c r="M238" s="14" t="s">
        <v>1086</v>
      </c>
      <c r="N238" s="7" t="s">
        <v>1087</v>
      </c>
      <c r="O238" s="24" t="s">
        <v>1088</v>
      </c>
      <c r="P238" s="127" t="s">
        <v>1089</v>
      </c>
      <c r="Q238" s="143" t="s">
        <v>43</v>
      </c>
      <c r="R238" s="38" t="s">
        <v>43</v>
      </c>
      <c r="S238" s="38" t="s">
        <v>33</v>
      </c>
      <c r="T238" s="38" t="s">
        <v>1072</v>
      </c>
      <c r="U238" s="38"/>
      <c r="V238" s="38" t="s">
        <v>1079</v>
      </c>
    </row>
    <row r="239" spans="1:23" hidden="1">
      <c r="A239" s="37">
        <v>238</v>
      </c>
      <c r="B239" s="17" t="s">
        <v>993</v>
      </c>
      <c r="C239" s="147">
        <v>46121</v>
      </c>
      <c r="D239" s="14" t="s">
        <v>24</v>
      </c>
      <c r="E239" s="14" t="s">
        <v>383</v>
      </c>
      <c r="F239" s="14" t="s">
        <v>26</v>
      </c>
      <c r="G239" s="14" t="s">
        <v>1090</v>
      </c>
      <c r="H239" s="14" t="s">
        <v>1091</v>
      </c>
      <c r="I239" s="17" t="s">
        <v>29</v>
      </c>
      <c r="J239" s="17">
        <v>6</v>
      </c>
      <c r="K239" s="14" t="s">
        <v>57</v>
      </c>
      <c r="L239" s="17" t="s">
        <v>31</v>
      </c>
      <c r="M239" s="14" t="s">
        <v>1092</v>
      </c>
      <c r="N239" s="7" t="s">
        <v>1093</v>
      </c>
      <c r="O239" s="24" t="s">
        <v>1094</v>
      </c>
      <c r="P239" s="127" t="s">
        <v>1095</v>
      </c>
      <c r="Q239" s="143" t="s">
        <v>43</v>
      </c>
      <c r="R239" s="38" t="s">
        <v>43</v>
      </c>
      <c r="S239" s="38" t="s">
        <v>399</v>
      </c>
      <c r="T239" s="38" t="s">
        <v>1096</v>
      </c>
      <c r="U239" s="38" t="s">
        <v>43</v>
      </c>
      <c r="V239" s="38" t="s">
        <v>1079</v>
      </c>
      <c r="W239" s="14" t="s">
        <v>1008</v>
      </c>
    </row>
    <row r="240" spans="1:23" hidden="1">
      <c r="A240" s="37">
        <v>239</v>
      </c>
      <c r="B240" s="17" t="s">
        <v>993</v>
      </c>
      <c r="C240" s="147">
        <v>46121</v>
      </c>
      <c r="D240" s="14" t="s">
        <v>24</v>
      </c>
      <c r="E240" s="14" t="s">
        <v>251</v>
      </c>
      <c r="F240" s="14" t="s">
        <v>26</v>
      </c>
      <c r="G240" s="14" t="s">
        <v>252</v>
      </c>
      <c r="H240" s="14" t="s">
        <v>253</v>
      </c>
      <c r="I240" s="17" t="s">
        <v>62</v>
      </c>
      <c r="J240" s="17">
        <v>6</v>
      </c>
      <c r="K240" s="14" t="s">
        <v>90</v>
      </c>
      <c r="L240" s="17" t="s">
        <v>31</v>
      </c>
      <c r="M240" s="14" t="s">
        <v>1097</v>
      </c>
      <c r="N240" s="7" t="s">
        <v>1098</v>
      </c>
      <c r="O240" s="24" t="s">
        <v>1099</v>
      </c>
      <c r="P240" s="127" t="s">
        <v>1100</v>
      </c>
      <c r="Q240" s="143" t="s">
        <v>43</v>
      </c>
      <c r="R240" s="38" t="s">
        <v>43</v>
      </c>
      <c r="S240" s="38" t="s">
        <v>43</v>
      </c>
      <c r="T240" s="38" t="s">
        <v>1101</v>
      </c>
      <c r="U240" s="38" t="s">
        <v>43</v>
      </c>
      <c r="V240" s="38" t="s">
        <v>1079</v>
      </c>
    </row>
    <row r="241" spans="1:23" hidden="1">
      <c r="A241" s="37">
        <v>240</v>
      </c>
      <c r="B241" s="17" t="s">
        <v>993</v>
      </c>
      <c r="C241" s="147">
        <v>46121</v>
      </c>
      <c r="D241" s="14" t="s">
        <v>24</v>
      </c>
      <c r="E241" s="14" t="s">
        <v>328</v>
      </c>
      <c r="F241" s="14" t="s">
        <v>392</v>
      </c>
      <c r="G241" s="14" t="s">
        <v>1102</v>
      </c>
      <c r="H241" s="14" t="s">
        <v>1103</v>
      </c>
      <c r="I241" s="17" t="s">
        <v>62</v>
      </c>
      <c r="J241" s="17">
        <v>5</v>
      </c>
      <c r="K241" s="14" t="s">
        <v>38</v>
      </c>
      <c r="L241" s="17" t="s">
        <v>31</v>
      </c>
      <c r="M241" s="14" t="s">
        <v>1104</v>
      </c>
      <c r="N241" s="7" t="s">
        <v>1105</v>
      </c>
      <c r="O241" s="24" t="s">
        <v>1106</v>
      </c>
      <c r="P241" s="127" t="s">
        <v>1107</v>
      </c>
      <c r="Q241" s="143" t="s">
        <v>43</v>
      </c>
      <c r="R241" s="38" t="s">
        <v>43</v>
      </c>
      <c r="S241" s="38" t="s">
        <v>43</v>
      </c>
      <c r="T241" s="38" t="s">
        <v>1108</v>
      </c>
      <c r="U241" s="38" t="s">
        <v>43</v>
      </c>
      <c r="V241" s="38" t="s">
        <v>1026</v>
      </c>
      <c r="W241" s="14" t="s">
        <v>1008</v>
      </c>
    </row>
    <row r="242" spans="1:23" hidden="1">
      <c r="A242" s="37">
        <v>241</v>
      </c>
      <c r="B242" s="17" t="s">
        <v>993</v>
      </c>
      <c r="C242" s="147">
        <v>46121</v>
      </c>
      <c r="D242" s="14" t="s">
        <v>24</v>
      </c>
      <c r="E242" s="14" t="s">
        <v>784</v>
      </c>
      <c r="F242" s="14" t="s">
        <v>26</v>
      </c>
      <c r="G242" s="14" t="s">
        <v>269</v>
      </c>
      <c r="H242" s="14" t="s">
        <v>1109</v>
      </c>
      <c r="I242" s="17" t="s">
        <v>37</v>
      </c>
      <c r="J242" s="17">
        <v>5</v>
      </c>
      <c r="K242" s="14" t="s">
        <v>38</v>
      </c>
      <c r="L242" s="17" t="s">
        <v>31</v>
      </c>
      <c r="M242" s="14" t="s">
        <v>1110</v>
      </c>
      <c r="N242" s="7" t="s">
        <v>1111</v>
      </c>
      <c r="O242" s="24" t="s">
        <v>1112</v>
      </c>
      <c r="P242" s="24" t="s">
        <v>1113</v>
      </c>
      <c r="Q242" s="25" t="s">
        <v>43</v>
      </c>
      <c r="R242" s="14" t="s">
        <v>33</v>
      </c>
      <c r="S242" s="14" t="s">
        <v>373</v>
      </c>
      <c r="T242" s="14" t="s">
        <v>488</v>
      </c>
      <c r="V242" s="14" t="s">
        <v>1026</v>
      </c>
      <c r="W242" s="14" t="s">
        <v>1008</v>
      </c>
    </row>
    <row r="243" spans="1:23">
      <c r="A243" s="37">
        <v>242</v>
      </c>
      <c r="B243" s="17" t="s">
        <v>993</v>
      </c>
      <c r="C243" s="147">
        <v>46122</v>
      </c>
      <c r="D243" s="14" t="s">
        <v>24</v>
      </c>
      <c r="E243" s="14" t="s">
        <v>96</v>
      </c>
      <c r="F243" s="14" t="s">
        <v>26</v>
      </c>
      <c r="G243" s="14" t="s">
        <v>144</v>
      </c>
      <c r="H243" s="14" t="s">
        <v>98</v>
      </c>
      <c r="I243" s="17" t="s">
        <v>62</v>
      </c>
      <c r="J243" s="17">
        <v>3</v>
      </c>
      <c r="K243" s="14" t="s">
        <v>90</v>
      </c>
      <c r="L243" s="17" t="s">
        <v>31</v>
      </c>
      <c r="M243" s="14" t="s">
        <v>1114</v>
      </c>
      <c r="N243" s="7" t="s">
        <v>1115</v>
      </c>
      <c r="O243" s="24" t="s">
        <v>1116</v>
      </c>
      <c r="P243" s="24" t="s">
        <v>1117</v>
      </c>
      <c r="Q243" s="25" t="s">
        <v>43</v>
      </c>
      <c r="R243" s="14" t="s">
        <v>399</v>
      </c>
      <c r="S243" s="14" t="s">
        <v>33</v>
      </c>
      <c r="T243" s="14" t="s">
        <v>382</v>
      </c>
      <c r="V243" s="14" t="s">
        <v>1026</v>
      </c>
    </row>
    <row r="244" spans="1:23" hidden="1">
      <c r="A244" s="37">
        <v>243</v>
      </c>
      <c r="B244" s="17" t="s">
        <v>993</v>
      </c>
      <c r="C244" s="147">
        <v>46123</v>
      </c>
      <c r="D244" s="14" t="s">
        <v>24</v>
      </c>
      <c r="E244" s="14" t="s">
        <v>283</v>
      </c>
      <c r="F244" s="14" t="s">
        <v>26</v>
      </c>
      <c r="G244" s="14" t="s">
        <v>284</v>
      </c>
      <c r="H244" s="14" t="s">
        <v>285</v>
      </c>
      <c r="I244" s="17" t="s">
        <v>37</v>
      </c>
      <c r="J244" s="17">
        <v>1</v>
      </c>
      <c r="K244" s="14" t="s">
        <v>38</v>
      </c>
      <c r="L244" s="17" t="s">
        <v>31</v>
      </c>
      <c r="M244" s="14" t="s">
        <v>1118</v>
      </c>
      <c r="N244" s="7" t="s">
        <v>1119</v>
      </c>
      <c r="O244" s="24" t="s">
        <v>1120</v>
      </c>
      <c r="P244" s="24" t="s">
        <v>1121</v>
      </c>
      <c r="Q244" s="25" t="s">
        <v>43</v>
      </c>
      <c r="R244" s="14" t="s">
        <v>43</v>
      </c>
      <c r="S244" s="14" t="s">
        <v>43</v>
      </c>
      <c r="T244" s="14" t="s">
        <v>1122</v>
      </c>
      <c r="U244" s="14" t="s">
        <v>43</v>
      </c>
      <c r="V244" s="14" t="s">
        <v>1026</v>
      </c>
    </row>
    <row r="245" spans="1:23" hidden="1">
      <c r="A245" s="37">
        <v>244</v>
      </c>
      <c r="B245" s="17" t="s">
        <v>993</v>
      </c>
      <c r="C245" s="147">
        <v>46124</v>
      </c>
      <c r="D245" s="14" t="s">
        <v>24</v>
      </c>
      <c r="E245" s="14" t="s">
        <v>59</v>
      </c>
      <c r="F245" s="14" t="s">
        <v>26</v>
      </c>
      <c r="G245" s="14" t="s">
        <v>60</v>
      </c>
      <c r="H245" s="14" t="s">
        <v>72</v>
      </c>
      <c r="I245" s="17" t="s">
        <v>29</v>
      </c>
      <c r="J245" s="17">
        <v>5</v>
      </c>
      <c r="K245" s="14" t="s">
        <v>57</v>
      </c>
      <c r="L245" s="17" t="s">
        <v>31</v>
      </c>
      <c r="M245" s="14" t="s">
        <v>1123</v>
      </c>
      <c r="N245" s="7" t="s">
        <v>1124</v>
      </c>
      <c r="O245" s="24" t="s">
        <v>1125</v>
      </c>
      <c r="P245" s="24" t="s">
        <v>1126</v>
      </c>
      <c r="Q245" s="25" t="s">
        <v>43</v>
      </c>
      <c r="R245" s="14" t="s">
        <v>43</v>
      </c>
      <c r="S245" s="14" t="s">
        <v>43</v>
      </c>
      <c r="T245" s="14" t="s">
        <v>1127</v>
      </c>
      <c r="U245" s="14" t="s">
        <v>43</v>
      </c>
      <c r="V245" s="14" t="s">
        <v>1026</v>
      </c>
    </row>
    <row r="246" spans="1:23" hidden="1">
      <c r="A246" s="37">
        <v>245</v>
      </c>
      <c r="B246" s="17" t="s">
        <v>993</v>
      </c>
      <c r="C246" s="147">
        <v>46124</v>
      </c>
      <c r="D246" s="14" t="s">
        <v>24</v>
      </c>
      <c r="E246" s="14" t="s">
        <v>178</v>
      </c>
      <c r="F246" s="14" t="s">
        <v>26</v>
      </c>
      <c r="G246" s="14" t="s">
        <v>824</v>
      </c>
      <c r="H246" s="14" t="s">
        <v>1128</v>
      </c>
      <c r="I246" s="17" t="s">
        <v>62</v>
      </c>
      <c r="J246" s="17">
        <v>5</v>
      </c>
      <c r="K246" s="14" t="s">
        <v>90</v>
      </c>
      <c r="L246" s="17" t="s">
        <v>31</v>
      </c>
      <c r="M246" s="14" t="s">
        <v>1129</v>
      </c>
      <c r="N246" s="7" t="s">
        <v>1130</v>
      </c>
      <c r="O246" s="24" t="s">
        <v>1131</v>
      </c>
      <c r="P246" s="24" t="s">
        <v>1132</v>
      </c>
      <c r="Q246" s="25" t="s">
        <v>43</v>
      </c>
      <c r="R246" s="14" t="s">
        <v>43</v>
      </c>
      <c r="S246" s="14" t="s">
        <v>43</v>
      </c>
      <c r="T246" s="14" t="s">
        <v>1133</v>
      </c>
      <c r="V246" s="14" t="s">
        <v>1051</v>
      </c>
    </row>
    <row r="247" spans="1:23" hidden="1">
      <c r="A247" s="37">
        <v>246</v>
      </c>
      <c r="B247" s="17" t="s">
        <v>993</v>
      </c>
      <c r="C247" s="147">
        <v>46125</v>
      </c>
      <c r="D247" s="14" t="s">
        <v>24</v>
      </c>
      <c r="E247" s="14" t="s">
        <v>211</v>
      </c>
      <c r="F247" s="14" t="s">
        <v>26</v>
      </c>
      <c r="G247" s="14" t="s">
        <v>212</v>
      </c>
      <c r="H247" s="14" t="s">
        <v>627</v>
      </c>
      <c r="I247" s="17" t="s">
        <v>62</v>
      </c>
      <c r="J247" s="17" t="s">
        <v>31</v>
      </c>
      <c r="K247" s="14" t="s">
        <v>63</v>
      </c>
      <c r="L247" s="17" t="s">
        <v>31</v>
      </c>
      <c r="M247" s="14" t="s">
        <v>1134</v>
      </c>
      <c r="N247" s="7" t="s">
        <v>1135</v>
      </c>
      <c r="O247" s="24" t="s">
        <v>1136</v>
      </c>
      <c r="P247" s="24" t="s">
        <v>1137</v>
      </c>
      <c r="Q247" s="25" t="s">
        <v>43</v>
      </c>
      <c r="R247" s="14" t="s">
        <v>43</v>
      </c>
      <c r="S247" s="14" t="s">
        <v>43</v>
      </c>
      <c r="T247" s="14" t="s">
        <v>1138</v>
      </c>
      <c r="V247" s="14" t="s">
        <v>1051</v>
      </c>
    </row>
    <row r="248" spans="1:23" hidden="1">
      <c r="A248" s="37">
        <v>247</v>
      </c>
      <c r="B248" s="17" t="s">
        <v>993</v>
      </c>
      <c r="C248" s="147">
        <v>46125</v>
      </c>
      <c r="D248" s="14" t="s">
        <v>24</v>
      </c>
      <c r="E248" s="14" t="s">
        <v>1139</v>
      </c>
      <c r="F248" s="14" t="s">
        <v>26</v>
      </c>
      <c r="G248" s="14" t="s">
        <v>1102</v>
      </c>
      <c r="H248" s="14" t="s">
        <v>1140</v>
      </c>
      <c r="I248" s="17" t="s">
        <v>29</v>
      </c>
      <c r="J248" s="17">
        <v>1</v>
      </c>
      <c r="K248" s="14" t="s">
        <v>38</v>
      </c>
      <c r="L248" s="17" t="s">
        <v>31</v>
      </c>
      <c r="M248" s="14" t="s">
        <v>1141</v>
      </c>
      <c r="N248" s="7" t="s">
        <v>1142</v>
      </c>
      <c r="O248" s="24" t="s">
        <v>1143</v>
      </c>
      <c r="P248" s="24" t="s">
        <v>1144</v>
      </c>
      <c r="Q248" s="25" t="s">
        <v>43</v>
      </c>
      <c r="R248" s="14" t="s">
        <v>1145</v>
      </c>
      <c r="S248" s="14" t="s">
        <v>33</v>
      </c>
      <c r="T248" s="14" t="s">
        <v>1146</v>
      </c>
      <c r="V248" s="14" t="s">
        <v>1051</v>
      </c>
      <c r="W248" s="14" t="s">
        <v>1147</v>
      </c>
    </row>
    <row r="249" spans="1:23" ht="12" hidden="1">
      <c r="A249" s="37">
        <v>248</v>
      </c>
      <c r="B249" s="17" t="s">
        <v>993</v>
      </c>
      <c r="C249" s="147">
        <v>46126</v>
      </c>
      <c r="D249" s="14" t="s">
        <v>24</v>
      </c>
      <c r="E249" s="14" t="s">
        <v>1059</v>
      </c>
      <c r="F249" s="14" t="s">
        <v>26</v>
      </c>
      <c r="G249" s="14" t="s">
        <v>1060</v>
      </c>
      <c r="H249" s="14" t="s">
        <v>1148</v>
      </c>
      <c r="I249" s="17" t="s">
        <v>29</v>
      </c>
      <c r="J249" s="17">
        <v>3</v>
      </c>
      <c r="K249" s="69" t="s">
        <v>38</v>
      </c>
      <c r="L249" s="17" t="s">
        <v>31</v>
      </c>
      <c r="M249" s="140" t="s">
        <v>1149</v>
      </c>
      <c r="N249" s="7" t="s">
        <v>1150</v>
      </c>
      <c r="O249" s="24" t="s">
        <v>1151</v>
      </c>
      <c r="P249" s="24" t="s">
        <v>1152</v>
      </c>
      <c r="Q249" s="25" t="s">
        <v>43</v>
      </c>
      <c r="R249" s="14" t="s">
        <v>43</v>
      </c>
      <c r="S249" s="14" t="s">
        <v>33</v>
      </c>
      <c r="T249" s="14" t="s">
        <v>1153</v>
      </c>
      <c r="V249" s="14" t="s">
        <v>1051</v>
      </c>
    </row>
    <row r="250" spans="1:23" hidden="1">
      <c r="A250" s="37">
        <v>249</v>
      </c>
      <c r="B250" s="17" t="s">
        <v>993</v>
      </c>
      <c r="C250" s="147">
        <v>46127</v>
      </c>
      <c r="D250" s="14" t="s">
        <v>24</v>
      </c>
      <c r="E250" s="14" t="s">
        <v>1154</v>
      </c>
      <c r="F250" s="14" t="s">
        <v>392</v>
      </c>
      <c r="G250" s="14" t="s">
        <v>1155</v>
      </c>
      <c r="H250" s="14" t="s">
        <v>1156</v>
      </c>
      <c r="I250" s="17" t="s">
        <v>62</v>
      </c>
      <c r="J250" s="17">
        <v>6</v>
      </c>
      <c r="K250" s="14" t="s">
        <v>38</v>
      </c>
      <c r="L250" s="17" t="s">
        <v>31</v>
      </c>
      <c r="M250" s="69" t="s">
        <v>1157</v>
      </c>
      <c r="N250" s="7" t="s">
        <v>1158</v>
      </c>
      <c r="O250" s="24" t="s">
        <v>1159</v>
      </c>
      <c r="P250" s="24" t="s">
        <v>1160</v>
      </c>
      <c r="Q250" s="25" t="s">
        <v>43</v>
      </c>
      <c r="R250" s="14" t="s">
        <v>43</v>
      </c>
      <c r="S250" s="14" t="s">
        <v>33</v>
      </c>
      <c r="T250" s="14" t="s">
        <v>1161</v>
      </c>
      <c r="V250" s="14" t="s">
        <v>1051</v>
      </c>
    </row>
    <row r="251" spans="1:23" hidden="1">
      <c r="A251" s="37">
        <v>250</v>
      </c>
      <c r="B251" s="17" t="s">
        <v>993</v>
      </c>
      <c r="C251" s="147">
        <v>46127</v>
      </c>
      <c r="D251" s="14" t="s">
        <v>24</v>
      </c>
      <c r="E251" s="14" t="s">
        <v>454</v>
      </c>
      <c r="F251" s="14" t="s">
        <v>26</v>
      </c>
      <c r="G251" s="14" t="s">
        <v>775</v>
      </c>
      <c r="H251" s="14" t="s">
        <v>1162</v>
      </c>
      <c r="I251" s="17" t="s">
        <v>29</v>
      </c>
      <c r="J251" s="17">
        <v>1</v>
      </c>
      <c r="K251" s="14" t="s">
        <v>38</v>
      </c>
      <c r="L251" s="17" t="s">
        <v>31</v>
      </c>
      <c r="M251" s="14" t="s">
        <v>1163</v>
      </c>
      <c r="N251" s="7" t="s">
        <v>1164</v>
      </c>
      <c r="O251" s="24" t="s">
        <v>1165</v>
      </c>
      <c r="P251" s="127" t="s">
        <v>1166</v>
      </c>
      <c r="Q251" s="143" t="s">
        <v>43</v>
      </c>
      <c r="R251" s="38" t="s">
        <v>43</v>
      </c>
      <c r="S251" s="38" t="s">
        <v>43</v>
      </c>
      <c r="T251" s="38" t="s">
        <v>1167</v>
      </c>
      <c r="U251" s="38" t="s">
        <v>43</v>
      </c>
      <c r="V251" s="38" t="s">
        <v>1079</v>
      </c>
    </row>
    <row r="252" spans="1:23" hidden="1">
      <c r="A252" s="37">
        <v>251</v>
      </c>
      <c r="B252" s="17" t="s">
        <v>993</v>
      </c>
      <c r="C252" s="147">
        <v>46128</v>
      </c>
      <c r="D252" s="14" t="s">
        <v>24</v>
      </c>
      <c r="E252" s="14" t="s">
        <v>74</v>
      </c>
      <c r="F252" s="14" t="s">
        <v>26</v>
      </c>
      <c r="G252" s="14" t="s">
        <v>550</v>
      </c>
      <c r="H252" s="14" t="s">
        <v>316</v>
      </c>
      <c r="I252" s="17" t="s">
        <v>29</v>
      </c>
      <c r="J252" s="17">
        <v>1</v>
      </c>
      <c r="K252" s="14" t="s">
        <v>34</v>
      </c>
      <c r="L252" s="17" t="s">
        <v>31</v>
      </c>
      <c r="M252" s="14" t="s">
        <v>1168</v>
      </c>
      <c r="N252" s="7" t="s">
        <v>1169</v>
      </c>
      <c r="O252" s="24" t="s">
        <v>1170</v>
      </c>
      <c r="P252" s="127" t="s">
        <v>1171</v>
      </c>
      <c r="Q252" s="143" t="s">
        <v>43</v>
      </c>
      <c r="R252" s="38" t="s">
        <v>399</v>
      </c>
      <c r="S252" s="38" t="s">
        <v>399</v>
      </c>
      <c r="T252" s="38" t="s">
        <v>1172</v>
      </c>
      <c r="U252" s="38" t="s">
        <v>43</v>
      </c>
      <c r="V252" s="38" t="s">
        <v>1079</v>
      </c>
    </row>
    <row r="253" spans="1:23" hidden="1">
      <c r="A253" s="37">
        <v>252</v>
      </c>
      <c r="B253" s="17" t="s">
        <v>993</v>
      </c>
      <c r="C253" s="147">
        <v>46128</v>
      </c>
      <c r="D253" s="14" t="s">
        <v>24</v>
      </c>
      <c r="E253" s="14" t="s">
        <v>59</v>
      </c>
      <c r="F253" s="14" t="s">
        <v>26</v>
      </c>
      <c r="G253" s="14" t="s">
        <v>60</v>
      </c>
      <c r="H253" s="14" t="s">
        <v>61</v>
      </c>
      <c r="I253" s="17" t="s">
        <v>29</v>
      </c>
      <c r="J253" s="17">
        <v>1</v>
      </c>
      <c r="K253" s="14" t="s">
        <v>38</v>
      </c>
      <c r="L253" s="17" t="s">
        <v>31</v>
      </c>
      <c r="M253" s="14" t="s">
        <v>1173</v>
      </c>
      <c r="N253" s="7" t="s">
        <v>974</v>
      </c>
      <c r="O253" s="24" t="s">
        <v>975</v>
      </c>
      <c r="P253" s="127" t="s">
        <v>976</v>
      </c>
      <c r="Q253" s="143" t="s">
        <v>43</v>
      </c>
      <c r="R253" s="38" t="s">
        <v>43</v>
      </c>
      <c r="S253" s="38" t="s">
        <v>33</v>
      </c>
      <c r="T253" s="38" t="s">
        <v>1174</v>
      </c>
      <c r="U253" s="38" t="s">
        <v>43</v>
      </c>
      <c r="V253" s="38" t="s">
        <v>1079</v>
      </c>
    </row>
    <row r="254" spans="1:23" hidden="1">
      <c r="A254" s="37">
        <v>253</v>
      </c>
      <c r="B254" s="17" t="s">
        <v>993</v>
      </c>
      <c r="C254" s="147">
        <v>46128</v>
      </c>
      <c r="D254" s="14" t="s">
        <v>24</v>
      </c>
      <c r="E254" s="14" t="s">
        <v>543</v>
      </c>
      <c r="F254" s="14" t="s">
        <v>26</v>
      </c>
      <c r="G254" s="14" t="s">
        <v>1175</v>
      </c>
      <c r="H254" s="14" t="s">
        <v>545</v>
      </c>
      <c r="I254" s="17" t="s">
        <v>29</v>
      </c>
      <c r="J254" s="17">
        <v>4</v>
      </c>
      <c r="K254" s="14" t="s">
        <v>38</v>
      </c>
      <c r="L254" s="17" t="s">
        <v>31</v>
      </c>
      <c r="M254" s="14" t="s">
        <v>1176</v>
      </c>
      <c r="N254" s="144" t="s">
        <v>1177</v>
      </c>
      <c r="O254" s="24" t="s">
        <v>1178</v>
      </c>
      <c r="P254" s="127" t="s">
        <v>1179</v>
      </c>
      <c r="Q254" s="143" t="s">
        <v>43</v>
      </c>
      <c r="R254" s="38" t="s">
        <v>43</v>
      </c>
      <c r="S254" s="38" t="s">
        <v>43</v>
      </c>
      <c r="T254" s="38" t="s">
        <v>1180</v>
      </c>
      <c r="U254" s="38" t="s">
        <v>43</v>
      </c>
      <c r="V254" s="38" t="s">
        <v>1079</v>
      </c>
      <c r="W254" s="14" t="s">
        <v>1147</v>
      </c>
    </row>
    <row r="255" spans="1:23" hidden="1">
      <c r="A255" s="37">
        <v>254</v>
      </c>
      <c r="B255" s="17" t="s">
        <v>993</v>
      </c>
      <c r="C255" s="147">
        <v>46129</v>
      </c>
      <c r="D255" s="14" t="s">
        <v>24</v>
      </c>
      <c r="E255" s="14" t="s">
        <v>74</v>
      </c>
      <c r="F255" s="14" t="s">
        <v>26</v>
      </c>
      <c r="G255" s="14" t="s">
        <v>769</v>
      </c>
      <c r="H255" s="14" t="s">
        <v>76</v>
      </c>
      <c r="I255" s="17" t="s">
        <v>62</v>
      </c>
      <c r="J255" s="17">
        <v>1</v>
      </c>
      <c r="K255" s="14" t="s">
        <v>90</v>
      </c>
      <c r="L255" s="17" t="s">
        <v>31</v>
      </c>
      <c r="M255" s="14" t="s">
        <v>1181</v>
      </c>
      <c r="N255" s="7" t="s">
        <v>1182</v>
      </c>
      <c r="O255" s="24" t="s">
        <v>1183</v>
      </c>
      <c r="P255" s="127" t="s">
        <v>1184</v>
      </c>
      <c r="Q255" s="143"/>
      <c r="R255" s="38" t="s">
        <v>43</v>
      </c>
      <c r="S255" s="38" t="s">
        <v>43</v>
      </c>
      <c r="T255" s="38" t="s">
        <v>1185</v>
      </c>
      <c r="U255" s="38" t="s">
        <v>43</v>
      </c>
      <c r="V255" s="38" t="s">
        <v>1079</v>
      </c>
    </row>
    <row r="256" spans="1:23">
      <c r="A256" s="37">
        <v>255</v>
      </c>
      <c r="B256" s="17" t="s">
        <v>993</v>
      </c>
      <c r="C256" s="147">
        <v>46129</v>
      </c>
      <c r="D256" s="14" t="s">
        <v>24</v>
      </c>
      <c r="E256" s="14" t="s">
        <v>96</v>
      </c>
      <c r="F256" s="14" t="s">
        <v>26</v>
      </c>
      <c r="G256" s="14" t="s">
        <v>144</v>
      </c>
      <c r="H256" s="14" t="s">
        <v>140</v>
      </c>
      <c r="I256" s="17" t="s">
        <v>62</v>
      </c>
      <c r="J256" s="17">
        <v>4</v>
      </c>
      <c r="K256" s="14" t="s">
        <v>38</v>
      </c>
      <c r="L256" s="17" t="s">
        <v>31</v>
      </c>
      <c r="M256" s="14" t="s">
        <v>1186</v>
      </c>
      <c r="N256" s="7" t="s">
        <v>1187</v>
      </c>
      <c r="O256" s="24" t="s">
        <v>1188</v>
      </c>
      <c r="P256" s="24" t="s">
        <v>1189</v>
      </c>
      <c r="R256" s="14" t="s">
        <v>43</v>
      </c>
      <c r="S256" s="14" t="s">
        <v>43</v>
      </c>
      <c r="T256" s="14" t="s">
        <v>1190</v>
      </c>
      <c r="U256" s="14" t="s">
        <v>43</v>
      </c>
      <c r="V256" s="14" t="s">
        <v>1026</v>
      </c>
    </row>
    <row r="257" spans="1:23" hidden="1">
      <c r="A257" s="37">
        <v>256</v>
      </c>
      <c r="B257" s="17" t="s">
        <v>993</v>
      </c>
      <c r="C257" s="147">
        <v>46129</v>
      </c>
      <c r="D257" s="14" t="s">
        <v>24</v>
      </c>
      <c r="E257" s="14" t="s">
        <v>784</v>
      </c>
      <c r="F257" s="14" t="s">
        <v>26</v>
      </c>
      <c r="G257" s="14" t="s">
        <v>269</v>
      </c>
      <c r="H257" s="14" t="s">
        <v>67</v>
      </c>
      <c r="I257" s="17" t="s">
        <v>29</v>
      </c>
      <c r="J257" s="17">
        <v>5</v>
      </c>
      <c r="K257" s="69" t="s">
        <v>30</v>
      </c>
      <c r="L257" s="17" t="s">
        <v>31</v>
      </c>
      <c r="M257" s="14" t="s">
        <v>1191</v>
      </c>
      <c r="N257" s="7" t="s">
        <v>1192</v>
      </c>
      <c r="O257" s="24" t="s">
        <v>1193</v>
      </c>
      <c r="P257" s="24" t="s">
        <v>1194</v>
      </c>
      <c r="R257" s="14" t="s">
        <v>43</v>
      </c>
      <c r="S257" s="14" t="s">
        <v>33</v>
      </c>
      <c r="T257" s="14" t="s">
        <v>588</v>
      </c>
      <c r="V257" s="14" t="s">
        <v>1026</v>
      </c>
    </row>
    <row r="258" spans="1:23" hidden="1">
      <c r="A258" s="37">
        <v>257</v>
      </c>
      <c r="B258" s="17" t="s">
        <v>993</v>
      </c>
      <c r="C258" s="147">
        <v>46129</v>
      </c>
      <c r="D258" s="14" t="s">
        <v>24</v>
      </c>
      <c r="E258" s="14" t="s">
        <v>753</v>
      </c>
      <c r="F258" s="14" t="s">
        <v>26</v>
      </c>
      <c r="G258" s="14" t="s">
        <v>754</v>
      </c>
      <c r="H258" s="14" t="s">
        <v>1195</v>
      </c>
      <c r="I258" s="17" t="s">
        <v>62</v>
      </c>
      <c r="J258" s="17">
        <v>1</v>
      </c>
      <c r="K258" s="14" t="s">
        <v>90</v>
      </c>
      <c r="L258" s="17" t="s">
        <v>31</v>
      </c>
      <c r="M258" s="14" t="s">
        <v>1196</v>
      </c>
      <c r="N258" s="7" t="s">
        <v>1197</v>
      </c>
      <c r="O258" s="24" t="s">
        <v>1198</v>
      </c>
      <c r="P258" s="24" t="s">
        <v>1199</v>
      </c>
      <c r="R258" s="14" t="s">
        <v>43</v>
      </c>
      <c r="S258" s="14" t="s">
        <v>43</v>
      </c>
      <c r="T258" s="14" t="s">
        <v>1200</v>
      </c>
      <c r="U258" s="14" t="s">
        <v>43</v>
      </c>
      <c r="V258" s="14" t="s">
        <v>1026</v>
      </c>
      <c r="W258" s="14" t="s">
        <v>1147</v>
      </c>
    </row>
    <row r="259" spans="1:23" hidden="1">
      <c r="A259" s="37">
        <v>258</v>
      </c>
      <c r="B259" s="17" t="s">
        <v>993</v>
      </c>
      <c r="C259" s="147">
        <v>46130</v>
      </c>
      <c r="D259" s="14" t="s">
        <v>24</v>
      </c>
      <c r="E259" s="14" t="s">
        <v>340</v>
      </c>
      <c r="F259" s="14" t="s">
        <v>26</v>
      </c>
      <c r="G259" s="14" t="s">
        <v>341</v>
      </c>
      <c r="H259" s="14" t="s">
        <v>516</v>
      </c>
      <c r="I259" s="17" t="s">
        <v>29</v>
      </c>
      <c r="J259" s="17">
        <v>6</v>
      </c>
      <c r="K259" s="14" t="s">
        <v>30</v>
      </c>
      <c r="L259" s="17" t="s">
        <v>31</v>
      </c>
      <c r="M259" s="142" t="s">
        <v>1201</v>
      </c>
      <c r="N259" s="7" t="s">
        <v>1202</v>
      </c>
      <c r="O259" s="24" t="s">
        <v>1203</v>
      </c>
      <c r="P259" s="24" t="s">
        <v>1204</v>
      </c>
      <c r="R259" s="14" t="s">
        <v>43</v>
      </c>
      <c r="S259" s="14" t="s">
        <v>33</v>
      </c>
      <c r="T259" s="14" t="s">
        <v>588</v>
      </c>
      <c r="V259" s="14" t="s">
        <v>1026</v>
      </c>
    </row>
    <row r="260" spans="1:23" hidden="1">
      <c r="A260" s="37">
        <v>259</v>
      </c>
      <c r="B260" s="17" t="s">
        <v>993</v>
      </c>
      <c r="C260" s="147">
        <v>46132</v>
      </c>
      <c r="D260" s="14" t="s">
        <v>24</v>
      </c>
      <c r="E260" s="14" t="s">
        <v>178</v>
      </c>
      <c r="F260" s="14" t="s">
        <v>26</v>
      </c>
      <c r="G260" s="14" t="s">
        <v>1205</v>
      </c>
      <c r="H260" s="14" t="s">
        <v>1128</v>
      </c>
      <c r="I260" s="17" t="s">
        <v>62</v>
      </c>
      <c r="J260" s="17" t="s">
        <v>31</v>
      </c>
      <c r="K260" s="14" t="s">
        <v>63</v>
      </c>
      <c r="L260" s="17" t="s">
        <v>31</v>
      </c>
      <c r="M260" s="14" t="s">
        <v>1206</v>
      </c>
      <c r="N260" s="7" t="s">
        <v>1207</v>
      </c>
      <c r="O260" s="24" t="s">
        <v>1208</v>
      </c>
      <c r="P260" s="24" t="s">
        <v>1209</v>
      </c>
      <c r="R260" s="14" t="s">
        <v>43</v>
      </c>
      <c r="S260" s="14" t="s">
        <v>33</v>
      </c>
      <c r="T260" s="14" t="s">
        <v>1210</v>
      </c>
      <c r="V260" s="14" t="s">
        <v>1026</v>
      </c>
    </row>
    <row r="261" spans="1:23" hidden="1">
      <c r="A261" s="37">
        <v>260</v>
      </c>
      <c r="B261" s="17" t="s">
        <v>993</v>
      </c>
      <c r="C261" s="147">
        <v>46132</v>
      </c>
      <c r="D261" s="14" t="s">
        <v>24</v>
      </c>
      <c r="E261" s="14" t="s">
        <v>65</v>
      </c>
      <c r="F261" s="14" t="s">
        <v>26</v>
      </c>
      <c r="G261" s="14" t="s">
        <v>1211</v>
      </c>
      <c r="H261" s="14" t="s">
        <v>204</v>
      </c>
      <c r="I261" s="17" t="s">
        <v>37</v>
      </c>
      <c r="J261" s="17">
        <v>1</v>
      </c>
      <c r="K261" s="14" t="s">
        <v>194</v>
      </c>
      <c r="L261" s="17" t="s">
        <v>31</v>
      </c>
      <c r="M261" s="14" t="s">
        <v>1212</v>
      </c>
      <c r="N261" s="7" t="s">
        <v>951</v>
      </c>
      <c r="O261" s="24" t="s">
        <v>952</v>
      </c>
      <c r="P261" s="24" t="s">
        <v>953</v>
      </c>
      <c r="R261" s="14" t="s">
        <v>43</v>
      </c>
      <c r="S261" s="14" t="s">
        <v>33</v>
      </c>
      <c r="T261" s="14" t="s">
        <v>1161</v>
      </c>
      <c r="V261" s="14" t="s">
        <v>1051</v>
      </c>
    </row>
    <row r="262" spans="1:23" hidden="1">
      <c r="A262" s="37">
        <v>261</v>
      </c>
      <c r="B262" s="17" t="s">
        <v>993</v>
      </c>
      <c r="C262" s="147">
        <v>46132</v>
      </c>
      <c r="D262" s="14" t="s">
        <v>24</v>
      </c>
      <c r="E262" s="14" t="s">
        <v>25</v>
      </c>
      <c r="F262" s="14" t="s">
        <v>26</v>
      </c>
      <c r="G262" s="14" t="s">
        <v>217</v>
      </c>
      <c r="H262" s="14" t="s">
        <v>28</v>
      </c>
      <c r="I262" s="17" t="s">
        <v>29</v>
      </c>
      <c r="J262" s="17">
        <v>6</v>
      </c>
      <c r="K262" s="14" t="s">
        <v>34</v>
      </c>
      <c r="L262" s="17" t="s">
        <v>31</v>
      </c>
      <c r="M262" s="14" t="s">
        <v>1213</v>
      </c>
      <c r="N262" s="7" t="s">
        <v>1214</v>
      </c>
      <c r="O262" s="24" t="s">
        <v>1215</v>
      </c>
      <c r="P262" s="24" t="s">
        <v>1216</v>
      </c>
      <c r="R262" s="14" t="s">
        <v>43</v>
      </c>
      <c r="S262" s="14" t="s">
        <v>399</v>
      </c>
      <c r="T262" s="14" t="s">
        <v>1217</v>
      </c>
      <c r="V262" s="14" t="s">
        <v>1051</v>
      </c>
    </row>
    <row r="263" spans="1:23" hidden="1">
      <c r="A263" s="37">
        <v>262</v>
      </c>
      <c r="B263" s="17" t="s">
        <v>993</v>
      </c>
      <c r="C263" s="147">
        <v>46132</v>
      </c>
      <c r="D263" s="14" t="s">
        <v>24</v>
      </c>
      <c r="E263" s="14" t="s">
        <v>117</v>
      </c>
      <c r="F263" s="14" t="s">
        <v>26</v>
      </c>
      <c r="G263" s="14" t="s">
        <v>676</v>
      </c>
      <c r="H263" s="14" t="s">
        <v>119</v>
      </c>
      <c r="I263" s="17" t="s">
        <v>29</v>
      </c>
      <c r="J263" s="17">
        <v>6</v>
      </c>
      <c r="K263" s="14" t="s">
        <v>30</v>
      </c>
      <c r="L263" s="17" t="s">
        <v>31</v>
      </c>
      <c r="M263" s="14" t="s">
        <v>1218</v>
      </c>
      <c r="N263" s="7" t="s">
        <v>1219</v>
      </c>
      <c r="O263" s="24" t="s">
        <v>1220</v>
      </c>
      <c r="P263" s="24" t="s">
        <v>1221</v>
      </c>
      <c r="R263" s="14" t="s">
        <v>43</v>
      </c>
      <c r="S263" s="14" t="s">
        <v>399</v>
      </c>
      <c r="T263" s="14" t="s">
        <v>1222</v>
      </c>
      <c r="V263" s="14" t="s">
        <v>1051</v>
      </c>
    </row>
    <row r="264" spans="1:23" hidden="1">
      <c r="A264" s="37">
        <v>263</v>
      </c>
      <c r="B264" s="17" t="s">
        <v>993</v>
      </c>
      <c r="C264" s="147">
        <v>46134</v>
      </c>
      <c r="D264" s="14" t="s">
        <v>24</v>
      </c>
      <c r="E264" s="14" t="s">
        <v>117</v>
      </c>
      <c r="F264" s="14" t="s">
        <v>26</v>
      </c>
      <c r="G264" s="14" t="s">
        <v>264</v>
      </c>
      <c r="H264" s="14" t="s">
        <v>956</v>
      </c>
      <c r="I264" s="17" t="s">
        <v>29</v>
      </c>
      <c r="J264" s="17">
        <v>5</v>
      </c>
      <c r="K264" s="14" t="s">
        <v>38</v>
      </c>
      <c r="L264" s="17" t="s">
        <v>31</v>
      </c>
      <c r="M264" s="14" t="s">
        <v>1223</v>
      </c>
      <c r="N264" s="7" t="s">
        <v>1224</v>
      </c>
      <c r="O264" s="24" t="s">
        <v>1225</v>
      </c>
      <c r="P264" s="24" t="s">
        <v>1226</v>
      </c>
      <c r="R264" s="14" t="s">
        <v>43</v>
      </c>
      <c r="S264" s="14" t="s">
        <v>33</v>
      </c>
      <c r="T264" s="14" t="s">
        <v>1227</v>
      </c>
      <c r="V264" s="14" t="s">
        <v>1051</v>
      </c>
    </row>
    <row r="265" spans="1:23" hidden="1">
      <c r="A265" s="37">
        <v>264</v>
      </c>
      <c r="B265" s="17" t="s">
        <v>993</v>
      </c>
      <c r="C265" s="147">
        <v>46134</v>
      </c>
      <c r="D265" s="14" t="s">
        <v>24</v>
      </c>
      <c r="E265" s="14" t="s">
        <v>794</v>
      </c>
      <c r="F265" s="14" t="s">
        <v>26</v>
      </c>
      <c r="G265" s="14" t="s">
        <v>795</v>
      </c>
      <c r="H265" s="14" t="s">
        <v>796</v>
      </c>
      <c r="I265" s="17" t="s">
        <v>29</v>
      </c>
      <c r="J265" s="17">
        <v>1</v>
      </c>
      <c r="K265" s="14" t="s">
        <v>38</v>
      </c>
      <c r="L265" s="17" t="s">
        <v>31</v>
      </c>
      <c r="M265" s="14" t="s">
        <v>1228</v>
      </c>
      <c r="N265" s="7" t="s">
        <v>1229</v>
      </c>
      <c r="O265" s="24" t="s">
        <v>1230</v>
      </c>
      <c r="P265" s="24" t="s">
        <v>1231</v>
      </c>
      <c r="R265" s="14" t="s">
        <v>43</v>
      </c>
      <c r="S265" s="14" t="s">
        <v>33</v>
      </c>
      <c r="T265" s="14" t="s">
        <v>1161</v>
      </c>
      <c r="V265" s="14" t="s">
        <v>1051</v>
      </c>
    </row>
    <row r="266" spans="1:23" hidden="1">
      <c r="A266" s="37">
        <v>265</v>
      </c>
      <c r="B266" s="17" t="s">
        <v>993</v>
      </c>
      <c r="C266" s="147">
        <v>46135</v>
      </c>
      <c r="D266" s="14" t="s">
        <v>24</v>
      </c>
      <c r="E266" s="14" t="s">
        <v>82</v>
      </c>
      <c r="F266" s="14" t="s">
        <v>26</v>
      </c>
      <c r="G266" s="38" t="s">
        <v>83</v>
      </c>
      <c r="H266" s="38" t="s">
        <v>185</v>
      </c>
      <c r="I266" s="37" t="s">
        <v>29</v>
      </c>
      <c r="J266" s="37">
        <v>6</v>
      </c>
      <c r="K266" s="38" t="s">
        <v>34</v>
      </c>
      <c r="L266" s="37" t="s">
        <v>31</v>
      </c>
      <c r="M266" s="38" t="s">
        <v>1232</v>
      </c>
      <c r="N266" s="128" t="s">
        <v>1233</v>
      </c>
      <c r="O266" s="127" t="s">
        <v>1234</v>
      </c>
      <c r="P266" s="127" t="s">
        <v>1235</v>
      </c>
      <c r="Q266" s="143"/>
      <c r="R266" s="38" t="s">
        <v>1145</v>
      </c>
      <c r="S266" s="38" t="s">
        <v>43</v>
      </c>
      <c r="T266" s="38" t="s">
        <v>1236</v>
      </c>
      <c r="U266" s="38"/>
      <c r="V266" s="145" t="s">
        <v>1079</v>
      </c>
    </row>
    <row r="267" spans="1:23" hidden="1">
      <c r="A267" s="37">
        <v>266</v>
      </c>
      <c r="B267" s="17" t="s">
        <v>993</v>
      </c>
      <c r="C267" s="147">
        <v>46136</v>
      </c>
      <c r="D267" s="14" t="s">
        <v>24</v>
      </c>
      <c r="E267" s="14" t="s">
        <v>236</v>
      </c>
      <c r="F267" s="14" t="s">
        <v>26</v>
      </c>
      <c r="G267" s="38" t="s">
        <v>987</v>
      </c>
      <c r="H267" s="38" t="s">
        <v>988</v>
      </c>
      <c r="I267" s="37" t="s">
        <v>29</v>
      </c>
      <c r="J267" s="37">
        <v>4</v>
      </c>
      <c r="K267" s="38" t="s">
        <v>38</v>
      </c>
      <c r="L267" s="37" t="s">
        <v>31</v>
      </c>
      <c r="M267" s="38" t="s">
        <v>1237</v>
      </c>
      <c r="N267" s="128" t="s">
        <v>1238</v>
      </c>
      <c r="O267" s="127" t="s">
        <v>1239</v>
      </c>
      <c r="P267" s="127" t="s">
        <v>1240</v>
      </c>
      <c r="Q267" s="143"/>
      <c r="R267" s="38" t="s">
        <v>1145</v>
      </c>
      <c r="S267" s="38" t="s">
        <v>43</v>
      </c>
      <c r="T267" s="38" t="s">
        <v>1241</v>
      </c>
      <c r="U267" s="38"/>
      <c r="V267" s="145" t="s">
        <v>1079</v>
      </c>
    </row>
    <row r="268" spans="1:23" hidden="1">
      <c r="A268" s="37">
        <v>267</v>
      </c>
      <c r="B268" s="17" t="s">
        <v>993</v>
      </c>
      <c r="C268" s="147">
        <v>46136</v>
      </c>
      <c r="D268" s="14" t="s">
        <v>24</v>
      </c>
      <c r="E268" s="14" t="s">
        <v>543</v>
      </c>
      <c r="F268" s="14" t="s">
        <v>26</v>
      </c>
      <c r="G268" s="38" t="s">
        <v>1175</v>
      </c>
      <c r="H268" s="38" t="s">
        <v>545</v>
      </c>
      <c r="I268" s="37" t="s">
        <v>29</v>
      </c>
      <c r="J268" s="37">
        <v>6</v>
      </c>
      <c r="K268" s="38" t="s">
        <v>38</v>
      </c>
      <c r="L268" s="37" t="s">
        <v>31</v>
      </c>
      <c r="M268" s="38" t="s">
        <v>1242</v>
      </c>
      <c r="N268" s="128" t="s">
        <v>1243</v>
      </c>
      <c r="O268" s="127" t="s">
        <v>1244</v>
      </c>
      <c r="P268" s="127" t="s">
        <v>1245</v>
      </c>
      <c r="Q268" s="143"/>
      <c r="R268" s="38" t="s">
        <v>43</v>
      </c>
      <c r="S268" s="38" t="s">
        <v>33</v>
      </c>
      <c r="T268" s="38" t="s">
        <v>1078</v>
      </c>
      <c r="U268" s="38"/>
      <c r="V268" s="145" t="s">
        <v>1079</v>
      </c>
    </row>
    <row r="269" spans="1:23" hidden="1">
      <c r="A269" s="37">
        <v>268</v>
      </c>
      <c r="B269" s="17" t="s">
        <v>993</v>
      </c>
      <c r="C269" s="147">
        <v>46136</v>
      </c>
      <c r="D269" s="14" t="s">
        <v>24</v>
      </c>
      <c r="E269" s="14" t="s">
        <v>559</v>
      </c>
      <c r="F269" s="14" t="s">
        <v>26</v>
      </c>
      <c r="G269" s="38" t="s">
        <v>560</v>
      </c>
      <c r="H269" s="38" t="s">
        <v>666</v>
      </c>
      <c r="I269" s="37" t="s">
        <v>29</v>
      </c>
      <c r="J269" s="37">
        <v>1</v>
      </c>
      <c r="K269" s="38" t="s">
        <v>38</v>
      </c>
      <c r="L269" s="37" t="s">
        <v>31</v>
      </c>
      <c r="M269" s="38" t="s">
        <v>1246</v>
      </c>
      <c r="N269" s="128" t="s">
        <v>1247</v>
      </c>
      <c r="O269" s="127" t="s">
        <v>1248</v>
      </c>
      <c r="P269" s="127" t="s">
        <v>1249</v>
      </c>
      <c r="Q269" s="143"/>
      <c r="R269" s="38" t="s">
        <v>43</v>
      </c>
      <c r="S269" s="38" t="s">
        <v>399</v>
      </c>
      <c r="T269" s="38" t="s">
        <v>1250</v>
      </c>
      <c r="U269" s="38"/>
      <c r="V269" s="145" t="s">
        <v>1079</v>
      </c>
    </row>
    <row r="270" spans="1:23" ht="14.25" hidden="1" customHeight="1">
      <c r="A270" s="37">
        <v>269</v>
      </c>
      <c r="B270" s="17" t="s">
        <v>993</v>
      </c>
      <c r="C270" s="147">
        <v>46137</v>
      </c>
      <c r="D270" s="14" t="s">
        <v>24</v>
      </c>
      <c r="E270" s="14" t="s">
        <v>82</v>
      </c>
      <c r="F270" s="14" t="s">
        <v>26</v>
      </c>
      <c r="G270" s="38" t="s">
        <v>153</v>
      </c>
      <c r="H270" s="38" t="s">
        <v>185</v>
      </c>
      <c r="I270" s="37" t="s">
        <v>29</v>
      </c>
      <c r="J270" s="37">
        <v>1</v>
      </c>
      <c r="K270" s="38" t="s">
        <v>38</v>
      </c>
      <c r="L270" s="37" t="s">
        <v>31</v>
      </c>
      <c r="M270" s="38" t="s">
        <v>1251</v>
      </c>
      <c r="N270" s="128" t="s">
        <v>1252</v>
      </c>
      <c r="O270" s="127" t="s">
        <v>1253</v>
      </c>
      <c r="P270" s="127" t="s">
        <v>1254</v>
      </c>
      <c r="Q270" s="143"/>
      <c r="R270" s="38" t="s">
        <v>43</v>
      </c>
      <c r="S270" s="38" t="s">
        <v>33</v>
      </c>
      <c r="T270" s="38" t="s">
        <v>1078</v>
      </c>
      <c r="U270" s="38"/>
      <c r="V270" s="145" t="s">
        <v>1079</v>
      </c>
    </row>
    <row r="271" spans="1:23" hidden="1">
      <c r="A271" s="37">
        <v>270</v>
      </c>
      <c r="B271" s="17" t="s">
        <v>993</v>
      </c>
      <c r="C271" s="147">
        <v>46137</v>
      </c>
      <c r="D271" s="14" t="s">
        <v>24</v>
      </c>
      <c r="E271" s="14" t="s">
        <v>211</v>
      </c>
      <c r="F271" s="14" t="s">
        <v>26</v>
      </c>
      <c r="G271" s="14" t="s">
        <v>212</v>
      </c>
      <c r="H271" s="14" t="s">
        <v>384</v>
      </c>
      <c r="I271" s="17" t="s">
        <v>62</v>
      </c>
      <c r="J271" s="17">
        <v>1</v>
      </c>
      <c r="K271" s="14" t="s">
        <v>38</v>
      </c>
      <c r="L271" s="17" t="s">
        <v>31</v>
      </c>
      <c r="M271" s="14" t="s">
        <v>1255</v>
      </c>
      <c r="N271" s="7" t="s">
        <v>1256</v>
      </c>
      <c r="O271" s="24" t="s">
        <v>1257</v>
      </c>
      <c r="P271" s="24" t="s">
        <v>1258</v>
      </c>
      <c r="R271" s="14" t="s">
        <v>43</v>
      </c>
      <c r="S271" s="14" t="s">
        <v>43</v>
      </c>
      <c r="T271" s="14" t="s">
        <v>1259</v>
      </c>
      <c r="U271" s="14" t="s">
        <v>43</v>
      </c>
      <c r="V271" s="14" t="s">
        <v>1026</v>
      </c>
      <c r="W271" s="14" t="s">
        <v>1260</v>
      </c>
    </row>
    <row r="272" spans="1:23" hidden="1">
      <c r="A272" s="37">
        <v>271</v>
      </c>
      <c r="B272" s="17" t="s">
        <v>993</v>
      </c>
      <c r="C272" s="147">
        <v>46139</v>
      </c>
      <c r="D272" s="14" t="s">
        <v>24</v>
      </c>
      <c r="E272" s="14" t="s">
        <v>454</v>
      </c>
      <c r="F272" s="14" t="s">
        <v>26</v>
      </c>
      <c r="G272" s="14" t="s">
        <v>775</v>
      </c>
      <c r="H272" s="14" t="s">
        <v>1261</v>
      </c>
      <c r="I272" s="17" t="s">
        <v>62</v>
      </c>
      <c r="J272" s="17">
        <v>6</v>
      </c>
      <c r="K272" s="14" t="s">
        <v>38</v>
      </c>
      <c r="L272" s="17" t="s">
        <v>31</v>
      </c>
      <c r="M272" s="14" t="s">
        <v>1262</v>
      </c>
      <c r="N272" s="7" t="s">
        <v>1263</v>
      </c>
      <c r="O272" s="24" t="s">
        <v>1264</v>
      </c>
      <c r="P272" s="24" t="s">
        <v>1265</v>
      </c>
      <c r="R272" s="14" t="s">
        <v>43</v>
      </c>
      <c r="S272" s="14" t="s">
        <v>43</v>
      </c>
      <c r="T272" s="14" t="s">
        <v>1266</v>
      </c>
      <c r="U272" s="14" t="s">
        <v>33</v>
      </c>
      <c r="V272" s="14" t="s">
        <v>1026</v>
      </c>
    </row>
    <row r="273" spans="1:22" hidden="1">
      <c r="A273" s="37">
        <v>272</v>
      </c>
      <c r="B273" s="17" t="s">
        <v>993</v>
      </c>
      <c r="C273" s="147">
        <v>46140</v>
      </c>
      <c r="D273" s="14" t="s">
        <v>24</v>
      </c>
      <c r="E273" s="14" t="s">
        <v>82</v>
      </c>
      <c r="F273" s="14" t="s">
        <v>26</v>
      </c>
      <c r="G273" s="14" t="s">
        <v>153</v>
      </c>
      <c r="H273" s="14" t="s">
        <v>154</v>
      </c>
      <c r="I273" s="17" t="s">
        <v>29</v>
      </c>
      <c r="J273" s="17">
        <v>5</v>
      </c>
      <c r="K273" s="14" t="s">
        <v>38</v>
      </c>
      <c r="L273" s="17" t="s">
        <v>31</v>
      </c>
      <c r="M273" s="14" t="s">
        <v>1267</v>
      </c>
      <c r="N273" s="128" t="s">
        <v>1268</v>
      </c>
      <c r="O273" s="127" t="s">
        <v>1269</v>
      </c>
      <c r="P273" s="127" t="s">
        <v>1270</v>
      </c>
      <c r="R273" s="14" t="s">
        <v>43</v>
      </c>
      <c r="S273" s="14" t="s">
        <v>33</v>
      </c>
      <c r="T273" s="14" t="s">
        <v>1227</v>
      </c>
      <c r="V273" s="14" t="s">
        <v>1026</v>
      </c>
    </row>
    <row r="274" spans="1:22" hidden="1">
      <c r="A274" s="37">
        <v>273</v>
      </c>
      <c r="B274" s="17" t="s">
        <v>993</v>
      </c>
      <c r="C274" s="147">
        <v>46140</v>
      </c>
      <c r="D274" s="14" t="s">
        <v>24</v>
      </c>
      <c r="E274" s="14" t="s">
        <v>236</v>
      </c>
      <c r="F274" s="14" t="s">
        <v>26</v>
      </c>
      <c r="G274" s="14" t="s">
        <v>987</v>
      </c>
      <c r="H274" s="14" t="s">
        <v>988</v>
      </c>
      <c r="I274" s="17" t="s">
        <v>62</v>
      </c>
      <c r="J274" s="17" t="s">
        <v>31</v>
      </c>
      <c r="K274" s="14" t="s">
        <v>63</v>
      </c>
      <c r="L274" s="17" t="s">
        <v>31</v>
      </c>
      <c r="M274" s="14" t="s">
        <v>1271</v>
      </c>
      <c r="N274" s="128" t="s">
        <v>1272</v>
      </c>
      <c r="O274" s="127" t="s">
        <v>1273</v>
      </c>
      <c r="P274" s="127" t="s">
        <v>1274</v>
      </c>
      <c r="R274" s="14" t="s">
        <v>33</v>
      </c>
      <c r="S274" s="14" t="s">
        <v>373</v>
      </c>
      <c r="T274" s="14" t="s">
        <v>1275</v>
      </c>
      <c r="V274" s="14" t="s">
        <v>1026</v>
      </c>
    </row>
    <row r="275" spans="1:22" hidden="1">
      <c r="A275" s="37">
        <v>274</v>
      </c>
      <c r="B275" s="17" t="s">
        <v>993</v>
      </c>
      <c r="C275" s="147">
        <v>46141</v>
      </c>
      <c r="D275" s="14" t="s">
        <v>24</v>
      </c>
      <c r="E275" s="14" t="s">
        <v>1276</v>
      </c>
      <c r="F275" s="14" t="s">
        <v>26</v>
      </c>
      <c r="G275" s="14" t="s">
        <v>1277</v>
      </c>
      <c r="H275" s="14" t="s">
        <v>589</v>
      </c>
      <c r="I275" s="17" t="s">
        <v>62</v>
      </c>
      <c r="J275" s="17">
        <v>4</v>
      </c>
      <c r="K275" s="14" t="s">
        <v>38</v>
      </c>
      <c r="L275" s="17" t="s">
        <v>31</v>
      </c>
      <c r="M275" s="14" t="s">
        <v>1278</v>
      </c>
      <c r="N275" s="128" t="s">
        <v>1279</v>
      </c>
      <c r="O275" s="127" t="s">
        <v>1280</v>
      </c>
      <c r="P275" s="127" t="s">
        <v>1281</v>
      </c>
      <c r="R275" s="14" t="s">
        <v>43</v>
      </c>
      <c r="S275" s="14" t="s">
        <v>33</v>
      </c>
      <c r="T275" s="14" t="s">
        <v>1227</v>
      </c>
      <c r="V275" s="14" t="s">
        <v>1026</v>
      </c>
    </row>
    <row r="276" spans="1:22">
      <c r="A276" s="37">
        <v>275</v>
      </c>
      <c r="B276" s="17" t="s">
        <v>993</v>
      </c>
      <c r="C276" s="147">
        <v>46141</v>
      </c>
      <c r="D276" s="14" t="s">
        <v>24</v>
      </c>
      <c r="E276" s="14" t="s">
        <v>96</v>
      </c>
      <c r="F276" s="14" t="s">
        <v>26</v>
      </c>
      <c r="G276" s="14" t="s">
        <v>144</v>
      </c>
      <c r="H276" s="14" t="s">
        <v>98</v>
      </c>
      <c r="I276" s="17" t="s">
        <v>29</v>
      </c>
      <c r="J276" s="17">
        <v>1</v>
      </c>
      <c r="K276" s="14" t="s">
        <v>38</v>
      </c>
      <c r="L276" s="17" t="s">
        <v>31</v>
      </c>
      <c r="M276" s="14" t="s">
        <v>1282</v>
      </c>
      <c r="N276" s="128" t="s">
        <v>1283</v>
      </c>
      <c r="O276" s="127" t="s">
        <v>1284</v>
      </c>
      <c r="P276" s="127" t="s">
        <v>1285</v>
      </c>
      <c r="R276" s="14" t="s">
        <v>43</v>
      </c>
      <c r="S276" s="14" t="s">
        <v>43</v>
      </c>
      <c r="T276" s="14" t="s">
        <v>1286</v>
      </c>
      <c r="V276" s="14" t="s">
        <v>1051</v>
      </c>
    </row>
    <row r="277" spans="1:22" hidden="1">
      <c r="A277" s="37">
        <v>276</v>
      </c>
      <c r="B277" s="17" t="s">
        <v>1287</v>
      </c>
      <c r="C277" s="147">
        <v>46143</v>
      </c>
      <c r="D277" s="14" t="s">
        <v>24</v>
      </c>
      <c r="E277" s="14" t="s">
        <v>814</v>
      </c>
      <c r="F277" s="14" t="s">
        <v>26</v>
      </c>
      <c r="G277" s="14" t="s">
        <v>401</v>
      </c>
      <c r="H277" s="14" t="s">
        <v>1288</v>
      </c>
      <c r="I277" s="17" t="s">
        <v>29</v>
      </c>
      <c r="J277" s="17">
        <v>1</v>
      </c>
      <c r="K277" s="14" t="s">
        <v>38</v>
      </c>
      <c r="L277" s="17" t="s">
        <v>31</v>
      </c>
      <c r="M277" s="14" t="s">
        <v>1289</v>
      </c>
      <c r="N277" s="128" t="s">
        <v>1290</v>
      </c>
      <c r="O277" s="127" t="s">
        <v>1291</v>
      </c>
      <c r="P277" s="127" t="s">
        <v>1292</v>
      </c>
      <c r="R277" s="14" t="s">
        <v>43</v>
      </c>
      <c r="S277" s="14" t="s">
        <v>43</v>
      </c>
      <c r="T277" s="14" t="s">
        <v>1293</v>
      </c>
      <c r="U277" s="14" t="s">
        <v>1294</v>
      </c>
      <c r="V277" s="14" t="s">
        <v>1051</v>
      </c>
    </row>
    <row r="278" spans="1:22">
      <c r="A278" s="37">
        <v>277</v>
      </c>
      <c r="B278" s="17" t="s">
        <v>1287</v>
      </c>
      <c r="C278" s="147">
        <v>46143</v>
      </c>
      <c r="D278" s="14" t="s">
        <v>24</v>
      </c>
      <c r="E278" s="14" t="s">
        <v>96</v>
      </c>
      <c r="F278" s="14" t="s">
        <v>26</v>
      </c>
      <c r="G278" s="14" t="s">
        <v>144</v>
      </c>
      <c r="H278" s="14" t="s">
        <v>1295</v>
      </c>
      <c r="I278" s="17" t="s">
        <v>37</v>
      </c>
      <c r="J278" s="17">
        <v>1</v>
      </c>
      <c r="K278" s="14" t="s">
        <v>38</v>
      </c>
      <c r="L278" s="17" t="s">
        <v>31</v>
      </c>
      <c r="M278" s="14" t="s">
        <v>1296</v>
      </c>
      <c r="N278" s="128" t="s">
        <v>1297</v>
      </c>
      <c r="O278" s="127" t="s">
        <v>1298</v>
      </c>
      <c r="P278" s="127" t="s">
        <v>1299</v>
      </c>
      <c r="R278" s="14" t="s">
        <v>43</v>
      </c>
      <c r="S278" s="14" t="s">
        <v>33</v>
      </c>
      <c r="T278" s="14" t="s">
        <v>1227</v>
      </c>
      <c r="V278" s="14" t="s">
        <v>1051</v>
      </c>
    </row>
    <row r="279" spans="1:22" hidden="1">
      <c r="A279" s="37">
        <v>278</v>
      </c>
      <c r="B279" s="17" t="s">
        <v>1287</v>
      </c>
      <c r="C279" s="147">
        <v>46143</v>
      </c>
      <c r="D279" s="14" t="s">
        <v>24</v>
      </c>
      <c r="E279" s="14" t="s">
        <v>1300</v>
      </c>
      <c r="F279" s="14" t="s">
        <v>26</v>
      </c>
      <c r="G279" s="14" t="s">
        <v>824</v>
      </c>
      <c r="H279" s="14" t="s">
        <v>1128</v>
      </c>
      <c r="I279" s="17" t="s">
        <v>37</v>
      </c>
      <c r="J279" s="17">
        <v>1</v>
      </c>
      <c r="K279" s="14" t="s">
        <v>38</v>
      </c>
      <c r="L279" s="17" t="s">
        <v>31</v>
      </c>
      <c r="M279" s="14" t="s">
        <v>1301</v>
      </c>
      <c r="N279" s="128" t="s">
        <v>1302</v>
      </c>
      <c r="O279" s="127" t="s">
        <v>1303</v>
      </c>
      <c r="P279" s="127" t="s">
        <v>1304</v>
      </c>
      <c r="R279" s="14" t="s">
        <v>43</v>
      </c>
      <c r="S279" s="14" t="s">
        <v>33</v>
      </c>
      <c r="T279" s="14" t="s">
        <v>1227</v>
      </c>
      <c r="V279" s="14" t="s">
        <v>1051</v>
      </c>
    </row>
    <row r="280" spans="1:22" hidden="1">
      <c r="A280" s="37">
        <v>279</v>
      </c>
      <c r="B280" s="17" t="s">
        <v>1287</v>
      </c>
      <c r="C280" s="147">
        <v>46144</v>
      </c>
      <c r="D280" s="14" t="s">
        <v>24</v>
      </c>
      <c r="E280" s="14" t="s">
        <v>1305</v>
      </c>
      <c r="F280" s="14" t="s">
        <v>26</v>
      </c>
      <c r="G280" s="14" t="s">
        <v>1306</v>
      </c>
      <c r="H280" s="14" t="s">
        <v>1307</v>
      </c>
      <c r="I280" s="17" t="s">
        <v>37</v>
      </c>
      <c r="J280" s="17">
        <v>5</v>
      </c>
      <c r="K280" s="14" t="s">
        <v>38</v>
      </c>
      <c r="L280" s="17" t="s">
        <v>31</v>
      </c>
      <c r="M280" s="14" t="s">
        <v>1308</v>
      </c>
      <c r="N280" s="128" t="s">
        <v>1309</v>
      </c>
      <c r="O280" s="127" t="s">
        <v>1310</v>
      </c>
      <c r="P280" s="127" t="s">
        <v>1311</v>
      </c>
      <c r="Q280" s="143"/>
      <c r="R280" s="14" t="s">
        <v>43</v>
      </c>
      <c r="S280" s="14" t="s">
        <v>43</v>
      </c>
      <c r="T280" s="14" t="s">
        <v>1312</v>
      </c>
      <c r="V280" s="14" t="s">
        <v>1051</v>
      </c>
    </row>
    <row r="281" spans="1:22" hidden="1">
      <c r="A281" s="37">
        <v>280</v>
      </c>
      <c r="B281" s="17" t="s">
        <v>1287</v>
      </c>
      <c r="C281" s="147">
        <v>46145</v>
      </c>
      <c r="D281" s="14" t="s">
        <v>24</v>
      </c>
      <c r="E281" s="14" t="s">
        <v>328</v>
      </c>
      <c r="F281" s="14" t="s">
        <v>26</v>
      </c>
      <c r="G281" s="14" t="s">
        <v>1313</v>
      </c>
      <c r="H281" s="14" t="s">
        <v>356</v>
      </c>
      <c r="I281" s="17" t="s">
        <v>37</v>
      </c>
      <c r="J281" s="17">
        <v>1</v>
      </c>
      <c r="K281" s="14" t="s">
        <v>38</v>
      </c>
      <c r="L281" s="17" t="s">
        <v>31</v>
      </c>
      <c r="M281" s="38" t="s">
        <v>1314</v>
      </c>
      <c r="N281" s="128" t="s">
        <v>1315</v>
      </c>
      <c r="O281" s="127" t="s">
        <v>1316</v>
      </c>
      <c r="P281" s="127" t="s">
        <v>1317</v>
      </c>
      <c r="Q281" s="143"/>
      <c r="R281" s="38" t="s">
        <v>43</v>
      </c>
      <c r="S281" s="38" t="s">
        <v>33</v>
      </c>
      <c r="T281" s="38" t="s">
        <v>1318</v>
      </c>
      <c r="U281" s="38"/>
      <c r="V281" s="38" t="s">
        <v>1079</v>
      </c>
    </row>
    <row r="282" spans="1:22" hidden="1">
      <c r="A282" s="37">
        <v>281</v>
      </c>
      <c r="B282" s="17" t="s">
        <v>1287</v>
      </c>
      <c r="C282" s="147">
        <v>46146</v>
      </c>
      <c r="D282" s="14" t="s">
        <v>24</v>
      </c>
      <c r="E282" s="14" t="s">
        <v>894</v>
      </c>
      <c r="F282" s="14" t="s">
        <v>26</v>
      </c>
      <c r="G282" s="14" t="s">
        <v>1319</v>
      </c>
      <c r="H282" s="14" t="s">
        <v>896</v>
      </c>
      <c r="I282" s="17" t="s">
        <v>29</v>
      </c>
      <c r="J282" s="17">
        <v>1</v>
      </c>
      <c r="K282" s="14" t="s">
        <v>38</v>
      </c>
      <c r="L282" s="17" t="s">
        <v>1067</v>
      </c>
      <c r="M282" s="38" t="s">
        <v>1320</v>
      </c>
      <c r="N282" s="128" t="s">
        <v>1321</v>
      </c>
      <c r="O282" s="127" t="s">
        <v>1322</v>
      </c>
      <c r="P282" s="127" t="s">
        <v>1323</v>
      </c>
      <c r="Q282" s="143"/>
      <c r="R282" s="38" t="s">
        <v>43</v>
      </c>
      <c r="S282" s="38" t="s">
        <v>43</v>
      </c>
      <c r="T282" s="38" t="s">
        <v>1324</v>
      </c>
      <c r="U282" s="38"/>
      <c r="V282" s="38" t="s">
        <v>1079</v>
      </c>
    </row>
    <row r="283" spans="1:22" hidden="1">
      <c r="A283" s="37">
        <v>282</v>
      </c>
      <c r="B283" s="17" t="s">
        <v>1287</v>
      </c>
      <c r="C283" s="147">
        <v>46146</v>
      </c>
      <c r="D283" s="14" t="s">
        <v>24</v>
      </c>
      <c r="E283" s="14" t="s">
        <v>59</v>
      </c>
      <c r="F283" s="14" t="s">
        <v>26</v>
      </c>
      <c r="G283" s="14" t="s">
        <v>60</v>
      </c>
      <c r="H283" s="14" t="s">
        <v>61</v>
      </c>
      <c r="I283" s="17" t="s">
        <v>62</v>
      </c>
      <c r="J283" s="17">
        <v>1</v>
      </c>
      <c r="K283" s="14" t="s">
        <v>38</v>
      </c>
      <c r="L283" s="17" t="s">
        <v>1067</v>
      </c>
      <c r="M283" s="38" t="s">
        <v>1325</v>
      </c>
      <c r="N283" s="128" t="s">
        <v>974</v>
      </c>
      <c r="O283" s="127" t="s">
        <v>975</v>
      </c>
      <c r="P283" s="127" t="s">
        <v>976</v>
      </c>
      <c r="Q283" s="143"/>
      <c r="R283" s="38" t="s">
        <v>43</v>
      </c>
      <c r="S283" s="38" t="s">
        <v>33</v>
      </c>
      <c r="T283" s="38" t="s">
        <v>1085</v>
      </c>
      <c r="U283" s="38"/>
      <c r="V283" s="38" t="s">
        <v>1079</v>
      </c>
    </row>
    <row r="284" spans="1:22" hidden="1">
      <c r="A284" s="37">
        <v>283</v>
      </c>
      <c r="B284" s="17" t="s">
        <v>1287</v>
      </c>
      <c r="C284" s="147">
        <v>46146</v>
      </c>
      <c r="D284" s="14" t="s">
        <v>24</v>
      </c>
      <c r="E284" s="14" t="s">
        <v>82</v>
      </c>
      <c r="F284" s="14" t="s">
        <v>26</v>
      </c>
      <c r="G284" s="14" t="s">
        <v>118</v>
      </c>
      <c r="H284" s="14" t="s">
        <v>185</v>
      </c>
      <c r="I284" s="17" t="s">
        <v>62</v>
      </c>
      <c r="J284" s="17" t="s">
        <v>31</v>
      </c>
      <c r="K284" s="14" t="s">
        <v>63</v>
      </c>
      <c r="L284" s="17" t="s">
        <v>1067</v>
      </c>
      <c r="M284" s="38" t="s">
        <v>1326</v>
      </c>
      <c r="N284" s="128" t="s">
        <v>1327</v>
      </c>
      <c r="O284" s="127" t="s">
        <v>1328</v>
      </c>
      <c r="P284" s="127" t="s">
        <v>1329</v>
      </c>
      <c r="Q284" s="143"/>
      <c r="R284" s="38" t="s">
        <v>43</v>
      </c>
      <c r="S284" s="38" t="s">
        <v>33</v>
      </c>
      <c r="T284" s="38" t="s">
        <v>1330</v>
      </c>
      <c r="U284" s="38"/>
      <c r="V284" s="38" t="s">
        <v>1079</v>
      </c>
    </row>
    <row r="285" spans="1:22" hidden="1">
      <c r="A285" s="37">
        <v>284</v>
      </c>
      <c r="B285" s="17" t="s">
        <v>1287</v>
      </c>
      <c r="C285" s="147">
        <v>46147</v>
      </c>
      <c r="D285" s="14" t="s">
        <v>24</v>
      </c>
      <c r="E285" s="14" t="s">
        <v>1331</v>
      </c>
      <c r="F285" s="14" t="s">
        <v>392</v>
      </c>
      <c r="G285" s="14" t="s">
        <v>322</v>
      </c>
      <c r="H285" s="14" t="s">
        <v>1332</v>
      </c>
      <c r="I285" s="17" t="s">
        <v>62</v>
      </c>
      <c r="J285" s="17">
        <v>1</v>
      </c>
      <c r="K285" s="14" t="s">
        <v>38</v>
      </c>
      <c r="L285" s="17" t="s">
        <v>1067</v>
      </c>
      <c r="M285" s="38" t="s">
        <v>1333</v>
      </c>
      <c r="N285" s="128" t="s">
        <v>1334</v>
      </c>
      <c r="O285" s="127" t="s">
        <v>1335</v>
      </c>
      <c r="P285" s="127" t="s">
        <v>1336</v>
      </c>
      <c r="Q285" s="143"/>
      <c r="R285" s="38" t="s">
        <v>43</v>
      </c>
      <c r="S285" s="38" t="s">
        <v>43</v>
      </c>
      <c r="T285" s="38" t="s">
        <v>1337</v>
      </c>
      <c r="U285" s="38"/>
      <c r="V285" s="38" t="s">
        <v>1079</v>
      </c>
    </row>
    <row r="286" spans="1:22" hidden="1">
      <c r="A286" s="37">
        <v>285</v>
      </c>
      <c r="B286" s="17" t="s">
        <v>1287</v>
      </c>
      <c r="C286" s="147">
        <v>46147</v>
      </c>
      <c r="D286" s="14" t="s">
        <v>24</v>
      </c>
      <c r="E286" s="14" t="s">
        <v>289</v>
      </c>
      <c r="F286" s="14" t="s">
        <v>26</v>
      </c>
      <c r="G286" s="14" t="s">
        <v>290</v>
      </c>
      <c r="H286" s="14" t="s">
        <v>422</v>
      </c>
      <c r="I286" s="17" t="s">
        <v>37</v>
      </c>
      <c r="J286" s="17">
        <v>1</v>
      </c>
      <c r="K286" s="14" t="s">
        <v>38</v>
      </c>
      <c r="L286" s="17" t="s">
        <v>1067</v>
      </c>
      <c r="M286" s="38" t="s">
        <v>1338</v>
      </c>
      <c r="N286" s="128" t="s">
        <v>1339</v>
      </c>
      <c r="O286" s="127" t="s">
        <v>1340</v>
      </c>
      <c r="P286" s="127" t="s">
        <v>1341</v>
      </c>
      <c r="Q286" s="143"/>
      <c r="R286" s="14" t="s">
        <v>43</v>
      </c>
      <c r="S286" s="14" t="s">
        <v>33</v>
      </c>
      <c r="T286" s="14" t="s">
        <v>382</v>
      </c>
      <c r="V286" s="14" t="s">
        <v>1026</v>
      </c>
    </row>
    <row r="287" spans="1:22" hidden="1">
      <c r="A287" s="37">
        <v>286</v>
      </c>
      <c r="B287" s="17" t="s">
        <v>1287</v>
      </c>
      <c r="C287" s="147">
        <v>46147</v>
      </c>
      <c r="D287" s="14" t="s">
        <v>24</v>
      </c>
      <c r="E287" s="14" t="s">
        <v>1342</v>
      </c>
      <c r="F287" s="14" t="s">
        <v>26</v>
      </c>
      <c r="G287" s="14" t="s">
        <v>46</v>
      </c>
      <c r="H287" s="14" t="s">
        <v>1343</v>
      </c>
      <c r="I287" s="17" t="s">
        <v>62</v>
      </c>
      <c r="J287" s="17">
        <v>6</v>
      </c>
      <c r="K287" s="14" t="s">
        <v>38</v>
      </c>
      <c r="L287" s="17" t="s">
        <v>1067</v>
      </c>
      <c r="M287" s="38" t="s">
        <v>1344</v>
      </c>
      <c r="N287" s="128" t="s">
        <v>1345</v>
      </c>
      <c r="O287" s="127" t="s">
        <v>1346</v>
      </c>
      <c r="P287" s="127" t="s">
        <v>1347</v>
      </c>
      <c r="Q287" s="146"/>
      <c r="R287" s="14" t="s">
        <v>43</v>
      </c>
      <c r="S287" s="14" t="s">
        <v>43</v>
      </c>
      <c r="T287" s="14" t="s">
        <v>1348</v>
      </c>
      <c r="V287" s="14" t="s">
        <v>1051</v>
      </c>
    </row>
    <row r="288" spans="1:22" hidden="1">
      <c r="A288" s="37">
        <v>287</v>
      </c>
      <c r="B288" s="17" t="s">
        <v>1287</v>
      </c>
      <c r="C288" s="147">
        <v>46147</v>
      </c>
      <c r="D288" s="14" t="s">
        <v>24</v>
      </c>
      <c r="E288" s="14" t="s">
        <v>211</v>
      </c>
      <c r="F288" s="14" t="s">
        <v>392</v>
      </c>
      <c r="G288" s="14" t="s">
        <v>212</v>
      </c>
      <c r="H288" s="14" t="s">
        <v>522</v>
      </c>
      <c r="I288" s="17" t="s">
        <v>37</v>
      </c>
      <c r="J288" s="17">
        <v>4</v>
      </c>
      <c r="K288" s="14" t="s">
        <v>38</v>
      </c>
      <c r="L288" s="17" t="s">
        <v>1067</v>
      </c>
      <c r="M288" s="38" t="s">
        <v>1349</v>
      </c>
      <c r="N288" s="128" t="s">
        <v>1350</v>
      </c>
      <c r="O288" s="127" t="s">
        <v>1351</v>
      </c>
      <c r="P288" s="127" t="s">
        <v>1352</v>
      </c>
      <c r="Q288" s="143"/>
      <c r="R288" s="14" t="s">
        <v>43</v>
      </c>
      <c r="S288" s="14" t="s">
        <v>33</v>
      </c>
      <c r="T288" s="14" t="s">
        <v>1353</v>
      </c>
      <c r="V288" s="14" t="s">
        <v>1051</v>
      </c>
    </row>
    <row r="289" spans="1:23" hidden="1">
      <c r="A289" s="37">
        <v>288</v>
      </c>
      <c r="B289" s="17" t="s">
        <v>1287</v>
      </c>
      <c r="C289" s="147">
        <v>46148</v>
      </c>
      <c r="D289" s="14" t="s">
        <v>24</v>
      </c>
      <c r="E289" s="14" t="s">
        <v>1354</v>
      </c>
      <c r="F289" s="14" t="s">
        <v>26</v>
      </c>
      <c r="G289" s="14" t="s">
        <v>264</v>
      </c>
      <c r="H289" s="14" t="s">
        <v>956</v>
      </c>
      <c r="I289" s="17" t="s">
        <v>62</v>
      </c>
      <c r="J289" s="17">
        <v>2</v>
      </c>
      <c r="K289" s="14" t="s">
        <v>38</v>
      </c>
      <c r="L289" s="17" t="s">
        <v>1067</v>
      </c>
      <c r="M289" s="38" t="s">
        <v>1355</v>
      </c>
      <c r="N289" s="128" t="s">
        <v>1224</v>
      </c>
      <c r="O289" s="127" t="s">
        <v>1225</v>
      </c>
      <c r="P289" s="127" t="s">
        <v>1226</v>
      </c>
      <c r="Q289" s="143"/>
      <c r="R289" s="14" t="s">
        <v>43</v>
      </c>
      <c r="S289" s="14" t="s">
        <v>43</v>
      </c>
      <c r="T289" s="14" t="s">
        <v>1356</v>
      </c>
      <c r="V289" s="14" t="s">
        <v>1051</v>
      </c>
    </row>
    <row r="290" spans="1:23" hidden="1">
      <c r="A290" s="37">
        <v>289</v>
      </c>
      <c r="B290" s="17" t="s">
        <v>1287</v>
      </c>
      <c r="C290" s="147">
        <v>46148</v>
      </c>
      <c r="D290" s="14" t="s">
        <v>24</v>
      </c>
      <c r="E290" s="14" t="s">
        <v>894</v>
      </c>
      <c r="F290" s="14" t="s">
        <v>26</v>
      </c>
      <c r="G290" s="14" t="s">
        <v>1319</v>
      </c>
      <c r="H290" s="14" t="s">
        <v>1357</v>
      </c>
      <c r="I290" s="17" t="s">
        <v>29</v>
      </c>
      <c r="J290" s="17">
        <v>6</v>
      </c>
      <c r="K290" s="14" t="s">
        <v>34</v>
      </c>
      <c r="L290" s="17" t="s">
        <v>31</v>
      </c>
      <c r="M290" s="14" t="s">
        <v>1358</v>
      </c>
      <c r="N290" s="7" t="s">
        <v>1359</v>
      </c>
      <c r="O290" s="24" t="s">
        <v>1360</v>
      </c>
      <c r="P290" s="24" t="s">
        <v>1361</v>
      </c>
      <c r="R290" s="14" t="s">
        <v>43</v>
      </c>
      <c r="S290" s="14" t="s">
        <v>33</v>
      </c>
      <c r="T290" s="14" t="s">
        <v>1085</v>
      </c>
      <c r="V290" s="14" t="s">
        <v>1051</v>
      </c>
    </row>
    <row r="291" spans="1:23" hidden="1">
      <c r="A291" s="37">
        <v>290</v>
      </c>
      <c r="B291" s="17" t="s">
        <v>1287</v>
      </c>
      <c r="C291" s="147">
        <v>46148</v>
      </c>
      <c r="D291" s="14" t="s">
        <v>24</v>
      </c>
      <c r="E291" s="14" t="s">
        <v>109</v>
      </c>
      <c r="F291" s="14" t="s">
        <v>392</v>
      </c>
      <c r="G291" s="14" t="s">
        <v>110</v>
      </c>
      <c r="H291" s="14" t="s">
        <v>1362</v>
      </c>
      <c r="I291" s="17" t="s">
        <v>29</v>
      </c>
      <c r="J291" s="17">
        <v>6</v>
      </c>
      <c r="K291" s="14" t="s">
        <v>38</v>
      </c>
      <c r="L291" s="17" t="s">
        <v>163</v>
      </c>
      <c r="M291" s="14" t="s">
        <v>1363</v>
      </c>
      <c r="N291" s="7" t="s">
        <v>1364</v>
      </c>
      <c r="O291" s="24" t="s">
        <v>1365</v>
      </c>
      <c r="P291" s="24" t="s">
        <v>1366</v>
      </c>
      <c r="R291" s="14" t="s">
        <v>43</v>
      </c>
      <c r="S291" s="14" t="s">
        <v>33</v>
      </c>
      <c r="T291" s="14" t="s">
        <v>382</v>
      </c>
      <c r="V291" s="14" t="s">
        <v>1051</v>
      </c>
    </row>
    <row r="292" spans="1:23" hidden="1">
      <c r="A292" s="37">
        <v>291</v>
      </c>
      <c r="B292" s="17" t="s">
        <v>1287</v>
      </c>
      <c r="C292" s="147">
        <v>46148</v>
      </c>
      <c r="D292" s="14" t="s">
        <v>24</v>
      </c>
      <c r="E292" s="14" t="s">
        <v>1367</v>
      </c>
      <c r="F292" s="14" t="s">
        <v>26</v>
      </c>
      <c r="G292" s="14" t="s">
        <v>824</v>
      </c>
      <c r="H292" s="14" t="s">
        <v>180</v>
      </c>
      <c r="I292" s="17" t="s">
        <v>29</v>
      </c>
      <c r="J292" s="17">
        <v>1</v>
      </c>
      <c r="K292" s="14" t="s">
        <v>38</v>
      </c>
      <c r="L292" s="17" t="s">
        <v>31</v>
      </c>
      <c r="M292" s="14" t="s">
        <v>1368</v>
      </c>
      <c r="N292" s="7" t="s">
        <v>1369</v>
      </c>
      <c r="O292" s="24" t="s">
        <v>1370</v>
      </c>
      <c r="P292" s="24" t="s">
        <v>1371</v>
      </c>
      <c r="R292" s="14" t="s">
        <v>43</v>
      </c>
      <c r="S292" s="14" t="s">
        <v>43</v>
      </c>
      <c r="T292" s="69" t="s">
        <v>1372</v>
      </c>
      <c r="U292" s="14" t="s">
        <v>43</v>
      </c>
      <c r="V292" s="14" t="s">
        <v>1026</v>
      </c>
      <c r="W292" s="14" t="s">
        <v>1373</v>
      </c>
    </row>
    <row r="293" spans="1:23" hidden="1">
      <c r="A293" s="37">
        <v>292</v>
      </c>
      <c r="B293" s="17" t="s">
        <v>1287</v>
      </c>
      <c r="C293" s="147">
        <v>46149</v>
      </c>
      <c r="D293" s="14" t="s">
        <v>24</v>
      </c>
      <c r="E293" s="14" t="s">
        <v>74</v>
      </c>
      <c r="F293" s="14" t="s">
        <v>26</v>
      </c>
      <c r="G293" s="14" t="s">
        <v>225</v>
      </c>
      <c r="H293" s="14" t="s">
        <v>627</v>
      </c>
      <c r="I293" s="17" t="s">
        <v>29</v>
      </c>
      <c r="J293" s="17">
        <v>1</v>
      </c>
      <c r="K293" s="14" t="s">
        <v>38</v>
      </c>
      <c r="L293" s="17" t="s">
        <v>31</v>
      </c>
      <c r="M293" s="14" t="s">
        <v>1374</v>
      </c>
      <c r="N293" s="7" t="s">
        <v>1375</v>
      </c>
      <c r="O293" s="24" t="s">
        <v>1376</v>
      </c>
      <c r="P293" s="24" t="s">
        <v>1377</v>
      </c>
      <c r="R293" s="14" t="s">
        <v>43</v>
      </c>
      <c r="S293" s="14" t="s">
        <v>1378</v>
      </c>
      <c r="T293" s="14" t="s">
        <v>1379</v>
      </c>
      <c r="V293" s="14" t="s">
        <v>1051</v>
      </c>
    </row>
    <row r="294" spans="1:23" hidden="1">
      <c r="A294" s="37">
        <v>293</v>
      </c>
      <c r="B294" s="17" t="s">
        <v>1287</v>
      </c>
      <c r="C294" s="147">
        <v>46150</v>
      </c>
      <c r="D294" s="14" t="s">
        <v>24</v>
      </c>
      <c r="E294" s="14" t="s">
        <v>383</v>
      </c>
      <c r="F294" s="14" t="s">
        <v>26</v>
      </c>
      <c r="G294" s="14" t="s">
        <v>477</v>
      </c>
      <c r="H294" s="14" t="s">
        <v>1091</v>
      </c>
      <c r="I294" s="17" t="s">
        <v>29</v>
      </c>
      <c r="J294" s="17">
        <v>5</v>
      </c>
      <c r="K294" s="14" t="s">
        <v>38</v>
      </c>
      <c r="L294" s="17" t="s">
        <v>31</v>
      </c>
      <c r="M294" s="14" t="s">
        <v>1380</v>
      </c>
      <c r="N294" s="7" t="s">
        <v>1381</v>
      </c>
      <c r="O294" s="24" t="s">
        <v>1382</v>
      </c>
      <c r="P294" s="24" t="s">
        <v>1383</v>
      </c>
      <c r="R294" s="14" t="s">
        <v>43</v>
      </c>
      <c r="S294" s="14" t="s">
        <v>1378</v>
      </c>
      <c r="T294" s="14" t="s">
        <v>382</v>
      </c>
      <c r="V294" s="14" t="s">
        <v>1051</v>
      </c>
    </row>
    <row r="295" spans="1:23" hidden="1">
      <c r="A295" s="37">
        <v>294</v>
      </c>
      <c r="B295" s="17" t="s">
        <v>1287</v>
      </c>
      <c r="C295" s="147">
        <v>46150</v>
      </c>
      <c r="D295" s="14" t="s">
        <v>24</v>
      </c>
      <c r="E295" s="14" t="s">
        <v>1059</v>
      </c>
      <c r="F295" s="14" t="s">
        <v>26</v>
      </c>
      <c r="G295" s="14" t="s">
        <v>1060</v>
      </c>
      <c r="H295" s="14" t="s">
        <v>561</v>
      </c>
      <c r="I295" s="17" t="s">
        <v>29</v>
      </c>
      <c r="J295" s="17">
        <v>5</v>
      </c>
      <c r="K295" s="14" t="s">
        <v>1384</v>
      </c>
      <c r="L295" s="17" t="s">
        <v>31</v>
      </c>
      <c r="M295" s="14" t="s">
        <v>1385</v>
      </c>
      <c r="N295" s="7" t="s">
        <v>1386</v>
      </c>
      <c r="O295" s="24" t="s">
        <v>1387</v>
      </c>
      <c r="P295" s="24" t="s">
        <v>1388</v>
      </c>
      <c r="R295" s="14" t="s">
        <v>163</v>
      </c>
      <c r="S295" s="14" t="s">
        <v>1389</v>
      </c>
      <c r="T295" s="14" t="s">
        <v>1390</v>
      </c>
      <c r="V295" s="14" t="s">
        <v>1051</v>
      </c>
    </row>
    <row r="296" spans="1:23" hidden="1">
      <c r="A296" s="37">
        <v>295</v>
      </c>
      <c r="B296" s="17" t="s">
        <v>1287</v>
      </c>
      <c r="C296" s="147">
        <v>46151</v>
      </c>
      <c r="D296" s="14" t="s">
        <v>24</v>
      </c>
      <c r="E296" s="14" t="s">
        <v>45</v>
      </c>
      <c r="F296" s="14" t="s">
        <v>26</v>
      </c>
      <c r="G296" s="14" t="s">
        <v>795</v>
      </c>
      <c r="H296" s="14" t="s">
        <v>47</v>
      </c>
      <c r="I296" s="17" t="s">
        <v>62</v>
      </c>
      <c r="J296" s="17" t="s">
        <v>31</v>
      </c>
      <c r="K296" s="14" t="s">
        <v>63</v>
      </c>
      <c r="L296" s="17" t="s">
        <v>31</v>
      </c>
      <c r="M296" s="14" t="s">
        <v>1391</v>
      </c>
      <c r="N296" s="7" t="s">
        <v>1392</v>
      </c>
      <c r="O296" s="24" t="s">
        <v>1393</v>
      </c>
      <c r="P296" s="24" t="s">
        <v>1394</v>
      </c>
      <c r="R296" s="14" t="s">
        <v>43</v>
      </c>
      <c r="S296" s="14" t="s">
        <v>1378</v>
      </c>
      <c r="T296" s="14" t="s">
        <v>382</v>
      </c>
      <c r="V296" s="14" t="s">
        <v>1051</v>
      </c>
    </row>
    <row r="297" spans="1:23" hidden="1">
      <c r="A297" s="37">
        <v>296</v>
      </c>
      <c r="B297" s="17" t="s">
        <v>1287</v>
      </c>
      <c r="C297" s="147">
        <v>46151</v>
      </c>
      <c r="D297" s="14" t="s">
        <v>24</v>
      </c>
      <c r="E297" s="14" t="s">
        <v>128</v>
      </c>
      <c r="F297" s="14" t="s">
        <v>26</v>
      </c>
      <c r="G297" s="14" t="s">
        <v>129</v>
      </c>
      <c r="H297" s="14" t="s">
        <v>1395</v>
      </c>
      <c r="I297" s="17" t="s">
        <v>62</v>
      </c>
      <c r="J297" s="17">
        <v>1</v>
      </c>
      <c r="K297" s="14" t="s">
        <v>38</v>
      </c>
      <c r="L297" s="17" t="s">
        <v>163</v>
      </c>
      <c r="M297" s="14" t="s">
        <v>1396</v>
      </c>
      <c r="N297" s="7" t="s">
        <v>1397</v>
      </c>
      <c r="O297" s="24" t="s">
        <v>1398</v>
      </c>
      <c r="P297" s="24" t="s">
        <v>1399</v>
      </c>
      <c r="R297" s="14" t="s">
        <v>43</v>
      </c>
      <c r="T297" s="14" t="s">
        <v>1379</v>
      </c>
      <c r="V297" s="14" t="s">
        <v>1051</v>
      </c>
    </row>
    <row r="298" spans="1:23">
      <c r="A298" s="37">
        <v>297</v>
      </c>
      <c r="B298" s="17" t="s">
        <v>1287</v>
      </c>
      <c r="C298" s="147">
        <v>46151</v>
      </c>
      <c r="D298" s="14" t="s">
        <v>24</v>
      </c>
      <c r="E298" s="14" t="s">
        <v>96</v>
      </c>
      <c r="F298" s="14" t="s">
        <v>392</v>
      </c>
      <c r="G298" s="14" t="s">
        <v>83</v>
      </c>
      <c r="H298" s="14" t="s">
        <v>1295</v>
      </c>
      <c r="I298" s="17" t="s">
        <v>29</v>
      </c>
      <c r="J298" s="17">
        <v>1</v>
      </c>
      <c r="K298" s="14" t="s">
        <v>38</v>
      </c>
      <c r="L298" s="17" t="s">
        <v>31</v>
      </c>
      <c r="M298" s="14" t="s">
        <v>1400</v>
      </c>
      <c r="N298" s="128" t="s">
        <v>1401</v>
      </c>
      <c r="O298" s="127" t="s">
        <v>1402</v>
      </c>
      <c r="P298" s="127" t="s">
        <v>1403</v>
      </c>
      <c r="Q298" s="143"/>
      <c r="R298" s="38" t="s">
        <v>1145</v>
      </c>
      <c r="S298" s="38" t="s">
        <v>1378</v>
      </c>
      <c r="T298" s="38" t="s">
        <v>1404</v>
      </c>
      <c r="U298" s="38"/>
      <c r="V298" s="14" t="s">
        <v>1079</v>
      </c>
    </row>
    <row r="299" spans="1:23" hidden="1">
      <c r="A299" s="37">
        <v>298</v>
      </c>
      <c r="B299" s="17" t="s">
        <v>1287</v>
      </c>
      <c r="C299" s="147">
        <v>46151</v>
      </c>
      <c r="D299" s="14" t="s">
        <v>24</v>
      </c>
      <c r="E299" s="14" t="s">
        <v>1154</v>
      </c>
      <c r="F299" s="14" t="s">
        <v>26</v>
      </c>
      <c r="G299" s="14" t="s">
        <v>1405</v>
      </c>
      <c r="H299" s="14" t="s">
        <v>1406</v>
      </c>
      <c r="I299" s="17" t="s">
        <v>29</v>
      </c>
      <c r="J299" s="17">
        <v>6</v>
      </c>
      <c r="K299" s="14" t="s">
        <v>38</v>
      </c>
      <c r="L299" s="17" t="s">
        <v>31</v>
      </c>
      <c r="M299" s="14" t="s">
        <v>1407</v>
      </c>
      <c r="N299" s="128" t="s">
        <v>1408</v>
      </c>
      <c r="O299" s="127" t="s">
        <v>1409</v>
      </c>
      <c r="P299" s="127" t="s">
        <v>1410</v>
      </c>
      <c r="Q299" s="143"/>
      <c r="R299" s="38" t="s">
        <v>43</v>
      </c>
      <c r="S299" s="38" t="s">
        <v>43</v>
      </c>
      <c r="T299" s="38" t="s">
        <v>1411</v>
      </c>
      <c r="U299" s="38"/>
      <c r="V299" s="14" t="s">
        <v>1079</v>
      </c>
    </row>
    <row r="300" spans="1:23" hidden="1">
      <c r="A300" s="37">
        <v>299</v>
      </c>
      <c r="B300" s="17" t="s">
        <v>1287</v>
      </c>
      <c r="C300" s="147">
        <v>46151</v>
      </c>
      <c r="D300" s="14" t="s">
        <v>24</v>
      </c>
      <c r="E300" s="14" t="s">
        <v>309</v>
      </c>
      <c r="F300" s="14" t="s">
        <v>392</v>
      </c>
      <c r="G300" s="14" t="s">
        <v>310</v>
      </c>
      <c r="H300" s="14" t="s">
        <v>1412</v>
      </c>
      <c r="I300" s="17" t="s">
        <v>62</v>
      </c>
      <c r="J300" s="17">
        <v>4</v>
      </c>
      <c r="K300" s="14" t="s">
        <v>38</v>
      </c>
      <c r="L300" s="17" t="s">
        <v>31</v>
      </c>
      <c r="M300" s="14" t="s">
        <v>1413</v>
      </c>
      <c r="N300" s="128" t="s">
        <v>1414</v>
      </c>
      <c r="O300" s="127" t="s">
        <v>1415</v>
      </c>
      <c r="P300" s="127" t="s">
        <v>1416</v>
      </c>
      <c r="Q300" s="143"/>
      <c r="R300" s="38" t="s">
        <v>1145</v>
      </c>
      <c r="S300" s="38" t="s">
        <v>1378</v>
      </c>
      <c r="T300" s="38" t="s">
        <v>1404</v>
      </c>
      <c r="U300" s="38"/>
      <c r="V300" s="14" t="s">
        <v>1079</v>
      </c>
    </row>
    <row r="301" spans="1:23">
      <c r="A301" s="37">
        <v>301</v>
      </c>
      <c r="B301" s="17" t="s">
        <v>1287</v>
      </c>
      <c r="C301" s="147">
        <v>46153</v>
      </c>
      <c r="D301" s="14" t="s">
        <v>24</v>
      </c>
      <c r="E301" s="14" t="s">
        <v>96</v>
      </c>
      <c r="F301" s="14" t="s">
        <v>26</v>
      </c>
      <c r="G301" s="14" t="s">
        <v>97</v>
      </c>
      <c r="H301" s="14" t="s">
        <v>596</v>
      </c>
      <c r="I301" s="17" t="s">
        <v>62</v>
      </c>
      <c r="J301" s="17">
        <v>2</v>
      </c>
      <c r="K301" s="14" t="s">
        <v>38</v>
      </c>
      <c r="L301" s="17" t="s">
        <v>31</v>
      </c>
      <c r="M301" s="14" t="s">
        <v>1417</v>
      </c>
      <c r="N301" s="128" t="s">
        <v>1418</v>
      </c>
      <c r="O301" s="127" t="s">
        <v>1419</v>
      </c>
      <c r="P301" s="127" t="s">
        <v>1420</v>
      </c>
      <c r="Q301" s="143"/>
      <c r="R301" s="38" t="s">
        <v>1145</v>
      </c>
      <c r="S301" s="38" t="s">
        <v>1421</v>
      </c>
      <c r="T301" s="38" t="s">
        <v>1404</v>
      </c>
      <c r="U301" s="38"/>
      <c r="V301" s="14" t="s">
        <v>1079</v>
      </c>
    </row>
    <row r="302" spans="1:23" hidden="1">
      <c r="A302" s="37">
        <v>302</v>
      </c>
      <c r="B302" s="17" t="s">
        <v>1287</v>
      </c>
      <c r="C302" s="147">
        <v>46153</v>
      </c>
      <c r="D302" s="14" t="s">
        <v>24</v>
      </c>
      <c r="E302" s="14" t="s">
        <v>138</v>
      </c>
      <c r="F302" s="14" t="s">
        <v>26</v>
      </c>
      <c r="G302" s="14" t="s">
        <v>1422</v>
      </c>
      <c r="H302" s="14" t="s">
        <v>295</v>
      </c>
      <c r="I302" s="17" t="s">
        <v>62</v>
      </c>
      <c r="J302" s="17">
        <v>3</v>
      </c>
      <c r="K302" s="14" t="s">
        <v>38</v>
      </c>
      <c r="L302" s="17" t="s">
        <v>31</v>
      </c>
      <c r="M302" s="14" t="s">
        <v>1423</v>
      </c>
      <c r="N302" s="128" t="s">
        <v>1424</v>
      </c>
      <c r="O302" s="127" t="s">
        <v>1425</v>
      </c>
      <c r="P302" s="127" t="s">
        <v>1426</v>
      </c>
      <c r="Q302" s="143"/>
      <c r="R302" s="38" t="s">
        <v>43</v>
      </c>
      <c r="S302" s="38" t="s">
        <v>1389</v>
      </c>
      <c r="T302" s="38" t="s">
        <v>1427</v>
      </c>
      <c r="U302" s="38"/>
      <c r="V302" s="14" t="s">
        <v>1079</v>
      </c>
    </row>
    <row r="303" spans="1:23" hidden="1">
      <c r="A303" s="37">
        <v>303</v>
      </c>
      <c r="B303" s="17" t="s">
        <v>1287</v>
      </c>
      <c r="C303" s="147">
        <v>46153</v>
      </c>
      <c r="D303" s="14" t="s">
        <v>24</v>
      </c>
      <c r="E303" s="14" t="s">
        <v>814</v>
      </c>
      <c r="F303" s="14" t="s">
        <v>26</v>
      </c>
      <c r="G303" s="14" t="s">
        <v>401</v>
      </c>
      <c r="H303" s="14" t="s">
        <v>1288</v>
      </c>
      <c r="I303" s="17" t="s">
        <v>62</v>
      </c>
      <c r="J303" s="17">
        <v>1</v>
      </c>
      <c r="K303" s="14" t="s">
        <v>38</v>
      </c>
      <c r="L303" s="17" t="s">
        <v>31</v>
      </c>
      <c r="M303" s="14" t="s">
        <v>1428</v>
      </c>
      <c r="N303" s="7" t="s">
        <v>1290</v>
      </c>
      <c r="O303" s="24" t="s">
        <v>1291</v>
      </c>
      <c r="P303" s="24" t="s">
        <v>1292</v>
      </c>
      <c r="R303" s="14" t="s">
        <v>43</v>
      </c>
      <c r="S303" s="14" t="s">
        <v>43</v>
      </c>
      <c r="T303" s="14" t="s">
        <v>1429</v>
      </c>
      <c r="U303" s="14" t="s">
        <v>1430</v>
      </c>
      <c r="V303" s="14" t="s">
        <v>1026</v>
      </c>
    </row>
    <row r="304" spans="1:23">
      <c r="A304" s="37">
        <v>304</v>
      </c>
      <c r="B304" s="17" t="s">
        <v>1287</v>
      </c>
      <c r="C304" s="147">
        <v>46153</v>
      </c>
      <c r="D304" s="14" t="s">
        <v>24</v>
      </c>
      <c r="E304" s="14" t="s">
        <v>96</v>
      </c>
      <c r="F304" s="14" t="s">
        <v>26</v>
      </c>
      <c r="G304" s="14" t="s">
        <v>144</v>
      </c>
      <c r="H304" s="14" t="s">
        <v>98</v>
      </c>
      <c r="I304" s="17" t="s">
        <v>29</v>
      </c>
      <c r="J304" s="17">
        <v>1</v>
      </c>
      <c r="K304" s="14" t="s">
        <v>38</v>
      </c>
      <c r="L304" s="17" t="s">
        <v>31</v>
      </c>
      <c r="M304" s="14" t="s">
        <v>1431</v>
      </c>
      <c r="N304" s="7" t="s">
        <v>1283</v>
      </c>
      <c r="O304" s="24" t="s">
        <v>1284</v>
      </c>
      <c r="P304" s="24" t="s">
        <v>1285</v>
      </c>
      <c r="R304" s="14" t="s">
        <v>43</v>
      </c>
      <c r="S304" s="14" t="s">
        <v>43</v>
      </c>
      <c r="T304" s="14" t="s">
        <v>1432</v>
      </c>
      <c r="V304" s="14" t="s">
        <v>1026</v>
      </c>
    </row>
    <row r="305" spans="1:22" hidden="1">
      <c r="A305" s="37">
        <v>305</v>
      </c>
      <c r="B305" s="17" t="s">
        <v>1287</v>
      </c>
      <c r="C305" s="147">
        <v>46154</v>
      </c>
      <c r="D305" s="14" t="s">
        <v>24</v>
      </c>
      <c r="E305" s="14" t="s">
        <v>1433</v>
      </c>
      <c r="F305" s="14" t="s">
        <v>392</v>
      </c>
      <c r="G305" s="14" t="s">
        <v>1434</v>
      </c>
      <c r="H305" s="14" t="s">
        <v>1435</v>
      </c>
      <c r="I305" s="17" t="s">
        <v>62</v>
      </c>
      <c r="J305" s="17">
        <v>1</v>
      </c>
      <c r="K305" s="14" t="s">
        <v>38</v>
      </c>
      <c r="L305" s="17" t="s">
        <v>31</v>
      </c>
      <c r="M305" s="14" t="s">
        <v>1436</v>
      </c>
      <c r="N305" s="7" t="s">
        <v>1437</v>
      </c>
      <c r="O305" s="24" t="s">
        <v>1438</v>
      </c>
      <c r="P305" s="24" t="s">
        <v>1439</v>
      </c>
      <c r="R305" s="14" t="s">
        <v>43</v>
      </c>
      <c r="S305" s="14" t="s">
        <v>33</v>
      </c>
      <c r="T305" s="14" t="s">
        <v>1440</v>
      </c>
      <c r="V305" s="14" t="s">
        <v>1026</v>
      </c>
    </row>
    <row r="306" spans="1:22" hidden="1">
      <c r="A306" s="17">
        <v>306</v>
      </c>
      <c r="B306" s="17" t="s">
        <v>1287</v>
      </c>
      <c r="C306" s="147">
        <v>46154</v>
      </c>
      <c r="D306" s="14" t="s">
        <v>24</v>
      </c>
      <c r="E306" s="14" t="s">
        <v>1154</v>
      </c>
      <c r="F306" s="14" t="s">
        <v>392</v>
      </c>
      <c r="G306" s="14" t="s">
        <v>1405</v>
      </c>
      <c r="H306" s="14" t="s">
        <v>1156</v>
      </c>
      <c r="I306" s="17" t="s">
        <v>62</v>
      </c>
      <c r="J306" s="17">
        <v>5</v>
      </c>
      <c r="K306" s="14" t="s">
        <v>38</v>
      </c>
      <c r="L306" s="17" t="s">
        <v>31</v>
      </c>
      <c r="M306" s="14" t="s">
        <v>1441</v>
      </c>
      <c r="N306" s="7" t="s">
        <v>1442</v>
      </c>
      <c r="O306" s="24" t="s">
        <v>1443</v>
      </c>
      <c r="P306" s="24" t="s">
        <v>1444</v>
      </c>
      <c r="R306" s="14" t="s">
        <v>33</v>
      </c>
      <c r="S306" s="14" t="s">
        <v>373</v>
      </c>
      <c r="T306" s="14" t="s">
        <v>1445</v>
      </c>
      <c r="V306" s="14" t="s">
        <v>1026</v>
      </c>
    </row>
    <row r="307" spans="1:22" hidden="1">
      <c r="A307" s="37">
        <v>307</v>
      </c>
      <c r="B307" s="17" t="s">
        <v>1287</v>
      </c>
      <c r="C307" s="147">
        <v>46156</v>
      </c>
      <c r="D307" s="14" t="s">
        <v>24</v>
      </c>
      <c r="E307" s="14" t="s">
        <v>59</v>
      </c>
      <c r="F307" s="14" t="s">
        <v>26</v>
      </c>
      <c r="G307" s="14" t="s">
        <v>60</v>
      </c>
      <c r="H307" s="14" t="s">
        <v>1446</v>
      </c>
      <c r="I307" s="17" t="s">
        <v>29</v>
      </c>
      <c r="J307" s="17">
        <v>3</v>
      </c>
      <c r="K307" s="14" t="s">
        <v>38</v>
      </c>
      <c r="L307" s="17" t="s">
        <v>31</v>
      </c>
      <c r="M307" s="14" t="s">
        <v>1447</v>
      </c>
      <c r="N307" s="128" t="s">
        <v>1448</v>
      </c>
      <c r="O307" s="127" t="s">
        <v>1449</v>
      </c>
      <c r="P307" s="127" t="s">
        <v>1450</v>
      </c>
      <c r="Q307" s="143"/>
      <c r="R307" s="14" t="s">
        <v>43</v>
      </c>
      <c r="S307" s="14" t="s">
        <v>33</v>
      </c>
      <c r="T307" s="14" t="s">
        <v>1451</v>
      </c>
      <c r="V307" s="14" t="s">
        <v>1026</v>
      </c>
    </row>
    <row r="308" spans="1:22" hidden="1">
      <c r="A308" s="37">
        <v>308</v>
      </c>
      <c r="B308" s="17" t="s">
        <v>1287</v>
      </c>
      <c r="C308" s="147">
        <v>46157</v>
      </c>
      <c r="D308" s="14" t="s">
        <v>24</v>
      </c>
      <c r="E308" s="14" t="s">
        <v>1452</v>
      </c>
      <c r="F308" s="14" t="s">
        <v>26</v>
      </c>
      <c r="G308" s="14" t="s">
        <v>150</v>
      </c>
      <c r="H308" s="14" t="s">
        <v>1453</v>
      </c>
      <c r="I308" s="17" t="s">
        <v>62</v>
      </c>
      <c r="J308" s="17">
        <v>6</v>
      </c>
      <c r="K308" s="14" t="s">
        <v>90</v>
      </c>
      <c r="L308" s="17" t="s">
        <v>31</v>
      </c>
      <c r="M308" s="14" t="s">
        <v>1454</v>
      </c>
      <c r="N308" s="128" t="s">
        <v>1455</v>
      </c>
      <c r="O308" s="127" t="s">
        <v>1456</v>
      </c>
      <c r="P308" s="127" t="s">
        <v>1457</v>
      </c>
      <c r="Q308" s="143"/>
      <c r="R308" s="14" t="s">
        <v>43</v>
      </c>
      <c r="S308" s="14" t="s">
        <v>43</v>
      </c>
      <c r="T308" s="38" t="s">
        <v>1458</v>
      </c>
      <c r="V308" s="14" t="s">
        <v>1051</v>
      </c>
    </row>
    <row r="309" spans="1:22" hidden="1">
      <c r="A309" s="37">
        <v>309</v>
      </c>
      <c r="B309" s="17" t="s">
        <v>1287</v>
      </c>
      <c r="C309" s="147">
        <v>46157</v>
      </c>
      <c r="D309" s="14" t="s">
        <v>24</v>
      </c>
      <c r="E309" s="14" t="s">
        <v>138</v>
      </c>
      <c r="F309" s="14" t="s">
        <v>26</v>
      </c>
      <c r="G309" s="14" t="s">
        <v>118</v>
      </c>
      <c r="H309" s="14" t="s">
        <v>1459</v>
      </c>
      <c r="I309" s="17" t="s">
        <v>29</v>
      </c>
      <c r="J309" s="17">
        <v>6</v>
      </c>
      <c r="K309" s="14" t="s">
        <v>30</v>
      </c>
      <c r="L309" s="17" t="s">
        <v>31</v>
      </c>
      <c r="M309" s="14" t="s">
        <v>1460</v>
      </c>
      <c r="N309" s="128" t="s">
        <v>1461</v>
      </c>
      <c r="O309" s="127" t="s">
        <v>1462</v>
      </c>
      <c r="P309" s="127" t="s">
        <v>1463</v>
      </c>
      <c r="Q309" s="143"/>
      <c r="R309" s="14" t="s">
        <v>43</v>
      </c>
      <c r="S309" s="14" t="s">
        <v>33</v>
      </c>
      <c r="T309" s="14" t="s">
        <v>382</v>
      </c>
      <c r="V309" s="14" t="s">
        <v>1051</v>
      </c>
    </row>
    <row r="310" spans="1:22" hidden="1">
      <c r="A310" s="37">
        <v>310</v>
      </c>
      <c r="B310" s="17" t="s">
        <v>1287</v>
      </c>
      <c r="C310" s="147">
        <v>46158</v>
      </c>
      <c r="D310" s="14" t="s">
        <v>24</v>
      </c>
      <c r="E310" s="14" t="s">
        <v>74</v>
      </c>
      <c r="F310" s="14" t="s">
        <v>392</v>
      </c>
      <c r="G310" s="14" t="s">
        <v>225</v>
      </c>
      <c r="H310" s="14" t="s">
        <v>230</v>
      </c>
      <c r="I310" s="17" t="s">
        <v>37</v>
      </c>
      <c r="J310" s="17">
        <v>6</v>
      </c>
      <c r="K310" s="14" t="s">
        <v>196</v>
      </c>
      <c r="L310" s="17" t="s">
        <v>31</v>
      </c>
      <c r="M310" s="14" t="s">
        <v>1464</v>
      </c>
      <c r="N310" s="128" t="s">
        <v>1465</v>
      </c>
      <c r="O310" s="127" t="s">
        <v>1466</v>
      </c>
      <c r="P310" s="127" t="s">
        <v>1467</v>
      </c>
      <c r="Q310" s="143"/>
      <c r="R310" s="14" t="s">
        <v>43</v>
      </c>
      <c r="S310" s="14" t="s">
        <v>33</v>
      </c>
      <c r="T310" s="14" t="s">
        <v>382</v>
      </c>
      <c r="V310" s="14" t="s">
        <v>1051</v>
      </c>
    </row>
    <row r="311" spans="1:22" hidden="1">
      <c r="A311" s="37">
        <v>311</v>
      </c>
      <c r="B311" s="17" t="s">
        <v>1287</v>
      </c>
      <c r="C311" s="147">
        <v>46159</v>
      </c>
      <c r="D311" s="14" t="s">
        <v>24</v>
      </c>
      <c r="E311" s="14" t="s">
        <v>1342</v>
      </c>
      <c r="F311" s="14" t="s">
        <v>26</v>
      </c>
      <c r="G311" s="14" t="s">
        <v>46</v>
      </c>
      <c r="H311" s="14" t="s">
        <v>1343</v>
      </c>
      <c r="I311" s="17" t="s">
        <v>37</v>
      </c>
      <c r="J311" s="17">
        <v>1</v>
      </c>
      <c r="K311" s="14" t="s">
        <v>38</v>
      </c>
      <c r="L311" s="17" t="s">
        <v>31</v>
      </c>
      <c r="M311" s="14" t="s">
        <v>1468</v>
      </c>
      <c r="N311" s="128" t="s">
        <v>1345</v>
      </c>
      <c r="O311" s="127" t="s">
        <v>1346</v>
      </c>
      <c r="P311" s="127" t="s">
        <v>1347</v>
      </c>
      <c r="Q311" s="143"/>
      <c r="R311" s="14" t="s">
        <v>43</v>
      </c>
      <c r="S311" s="14" t="s">
        <v>33</v>
      </c>
      <c r="T311" s="14" t="s">
        <v>1469</v>
      </c>
      <c r="V311" s="14" t="s">
        <v>1051</v>
      </c>
    </row>
    <row r="312" spans="1:22" hidden="1">
      <c r="A312" s="37">
        <v>312</v>
      </c>
      <c r="B312" s="17" t="s">
        <v>1287</v>
      </c>
      <c r="C312" s="147">
        <v>46159</v>
      </c>
      <c r="D312" s="14" t="s">
        <v>24</v>
      </c>
      <c r="E312" s="14" t="s">
        <v>814</v>
      </c>
      <c r="F312" s="14" t="s">
        <v>26</v>
      </c>
      <c r="G312" s="14" t="s">
        <v>815</v>
      </c>
      <c r="H312" s="14" t="s">
        <v>1470</v>
      </c>
      <c r="I312" s="17" t="s">
        <v>62</v>
      </c>
      <c r="J312" s="17">
        <v>1</v>
      </c>
      <c r="K312" s="14" t="s">
        <v>38</v>
      </c>
      <c r="L312" s="17" t="s">
        <v>31</v>
      </c>
      <c r="M312" s="14" t="s">
        <v>1471</v>
      </c>
      <c r="N312" s="128" t="s">
        <v>1472</v>
      </c>
      <c r="O312" s="127" t="s">
        <v>1473</v>
      </c>
      <c r="P312" s="127" t="s">
        <v>1474</v>
      </c>
      <c r="Q312" s="143"/>
      <c r="R312" s="14" t="s">
        <v>43</v>
      </c>
      <c r="S312" s="14" t="s">
        <v>43</v>
      </c>
      <c r="T312" s="14" t="s">
        <v>1475</v>
      </c>
      <c r="V312" s="14" t="s">
        <v>1051</v>
      </c>
    </row>
    <row r="313" spans="1:22" hidden="1">
      <c r="A313" s="37">
        <v>313</v>
      </c>
      <c r="B313" s="17" t="s">
        <v>1287</v>
      </c>
      <c r="C313" s="147">
        <v>46159</v>
      </c>
      <c r="D313" s="14" t="s">
        <v>24</v>
      </c>
      <c r="E313" s="14" t="s">
        <v>138</v>
      </c>
      <c r="F313" s="14" t="s">
        <v>392</v>
      </c>
      <c r="G313" s="14" t="s">
        <v>139</v>
      </c>
      <c r="H313" s="14" t="s">
        <v>295</v>
      </c>
      <c r="I313" s="17" t="s">
        <v>62</v>
      </c>
      <c r="J313" s="17">
        <v>3</v>
      </c>
      <c r="K313" s="14" t="s">
        <v>38</v>
      </c>
      <c r="L313" s="17" t="s">
        <v>31</v>
      </c>
      <c r="M313" s="14" t="s">
        <v>1476</v>
      </c>
      <c r="N313" s="128" t="s">
        <v>1477</v>
      </c>
      <c r="O313" s="127" t="s">
        <v>1478</v>
      </c>
      <c r="P313" s="127" t="s">
        <v>1479</v>
      </c>
      <c r="Q313" s="143"/>
      <c r="R313" s="38" t="s">
        <v>43</v>
      </c>
      <c r="S313" s="38" t="s">
        <v>43</v>
      </c>
      <c r="T313" s="38" t="s">
        <v>1480</v>
      </c>
      <c r="U313" s="38"/>
      <c r="V313" s="14" t="s">
        <v>1079</v>
      </c>
    </row>
    <row r="314" spans="1:22" hidden="1">
      <c r="A314" s="37">
        <v>314</v>
      </c>
      <c r="B314" s="17" t="s">
        <v>1287</v>
      </c>
      <c r="C314" s="147">
        <v>46159</v>
      </c>
      <c r="D314" s="14" t="s">
        <v>24</v>
      </c>
      <c r="E314" s="14" t="s">
        <v>289</v>
      </c>
      <c r="F314" s="14" t="s">
        <v>392</v>
      </c>
      <c r="G314" s="14" t="s">
        <v>139</v>
      </c>
      <c r="H314" s="14" t="s">
        <v>291</v>
      </c>
      <c r="I314" s="17" t="s">
        <v>62</v>
      </c>
      <c r="J314" s="17">
        <v>3</v>
      </c>
      <c r="K314" s="14" t="s">
        <v>38</v>
      </c>
      <c r="L314" s="17" t="s">
        <v>31</v>
      </c>
      <c r="M314" s="14" t="s">
        <v>1481</v>
      </c>
      <c r="N314" s="128" t="s">
        <v>1482</v>
      </c>
      <c r="O314" s="127" t="s">
        <v>1483</v>
      </c>
      <c r="P314" s="127" t="s">
        <v>1484</v>
      </c>
      <c r="Q314" s="143"/>
      <c r="R314" s="38" t="s">
        <v>43</v>
      </c>
      <c r="S314" s="38" t="s">
        <v>1421</v>
      </c>
      <c r="T314" s="38" t="s">
        <v>1379</v>
      </c>
      <c r="U314" s="38"/>
      <c r="V314" s="14" t="s">
        <v>1079</v>
      </c>
    </row>
    <row r="315" spans="1:22" hidden="1">
      <c r="A315" s="37">
        <v>315</v>
      </c>
      <c r="B315" s="17" t="s">
        <v>1287</v>
      </c>
      <c r="C315" s="147">
        <v>46159</v>
      </c>
      <c r="D315" s="14" t="s">
        <v>24</v>
      </c>
      <c r="E315" s="14" t="s">
        <v>82</v>
      </c>
      <c r="F315" s="14" t="s">
        <v>26</v>
      </c>
      <c r="G315" s="14" t="s">
        <v>153</v>
      </c>
      <c r="H315" s="14" t="s">
        <v>356</v>
      </c>
      <c r="I315" s="17" t="s">
        <v>29</v>
      </c>
      <c r="J315" s="17">
        <v>2</v>
      </c>
      <c r="K315" s="14" t="s">
        <v>38</v>
      </c>
      <c r="L315" s="17" t="s">
        <v>31</v>
      </c>
      <c r="M315" s="14" t="s">
        <v>1485</v>
      </c>
      <c r="N315" s="128" t="s">
        <v>1486</v>
      </c>
      <c r="O315" s="127" t="s">
        <v>1487</v>
      </c>
      <c r="P315" s="127" t="s">
        <v>1488</v>
      </c>
      <c r="Q315" s="143"/>
      <c r="R315" s="38" t="s">
        <v>1145</v>
      </c>
      <c r="S315" s="38" t="s">
        <v>43</v>
      </c>
      <c r="T315" s="38" t="s">
        <v>1489</v>
      </c>
      <c r="U315" s="38"/>
      <c r="V315" s="14" t="s">
        <v>1079</v>
      </c>
    </row>
    <row r="316" spans="1:22" hidden="1">
      <c r="A316" s="37">
        <v>316</v>
      </c>
      <c r="B316" s="17" t="s">
        <v>1287</v>
      </c>
      <c r="C316" s="147">
        <v>46160</v>
      </c>
      <c r="D316" s="14" t="s">
        <v>24</v>
      </c>
      <c r="E316" s="14" t="s">
        <v>1490</v>
      </c>
      <c r="F316" s="14" t="s">
        <v>26</v>
      </c>
      <c r="G316" s="14" t="s">
        <v>1491</v>
      </c>
      <c r="H316" s="14" t="s">
        <v>123</v>
      </c>
      <c r="I316" s="17" t="s">
        <v>29</v>
      </c>
      <c r="J316" s="17">
        <v>1</v>
      </c>
      <c r="K316" s="14" t="s">
        <v>38</v>
      </c>
      <c r="L316" s="17" t="s">
        <v>31</v>
      </c>
      <c r="M316" s="14" t="s">
        <v>1492</v>
      </c>
      <c r="N316" s="128" t="s">
        <v>1493</v>
      </c>
      <c r="O316" s="127" t="s">
        <v>1494</v>
      </c>
      <c r="P316" s="127" t="s">
        <v>1495</v>
      </c>
      <c r="Q316" s="143"/>
      <c r="R316" s="38" t="s">
        <v>1145</v>
      </c>
      <c r="S316" s="38" t="s">
        <v>1145</v>
      </c>
      <c r="T316" s="38" t="s">
        <v>1496</v>
      </c>
      <c r="U316" s="38"/>
      <c r="V316" s="14" t="s">
        <v>1079</v>
      </c>
    </row>
    <row r="317" spans="1:22" hidden="1">
      <c r="A317" s="37">
        <v>317</v>
      </c>
      <c r="B317" s="17" t="s">
        <v>1287</v>
      </c>
      <c r="C317" s="147">
        <v>46160</v>
      </c>
      <c r="D317" s="14" t="s">
        <v>24</v>
      </c>
      <c r="E317" s="14" t="s">
        <v>1031</v>
      </c>
      <c r="F317" s="14" t="s">
        <v>26</v>
      </c>
      <c r="G317" s="14" t="s">
        <v>994</v>
      </c>
      <c r="H317" s="14" t="s">
        <v>796</v>
      </c>
      <c r="I317" s="17" t="s">
        <v>62</v>
      </c>
      <c r="J317" s="17">
        <v>2</v>
      </c>
      <c r="K317" s="14" t="s">
        <v>38</v>
      </c>
      <c r="L317" s="17" t="s">
        <v>31</v>
      </c>
      <c r="M317" s="14" t="s">
        <v>1497</v>
      </c>
      <c r="N317" s="128" t="s">
        <v>1498</v>
      </c>
      <c r="O317" s="127" t="s">
        <v>1499</v>
      </c>
      <c r="P317" s="127" t="s">
        <v>1500</v>
      </c>
      <c r="Q317" s="143"/>
      <c r="R317" s="38" t="s">
        <v>43</v>
      </c>
      <c r="S317" s="38" t="s">
        <v>43</v>
      </c>
      <c r="T317" s="38" t="s">
        <v>1501</v>
      </c>
      <c r="U317" s="38"/>
      <c r="V317" s="14" t="s">
        <v>1079</v>
      </c>
    </row>
    <row r="318" spans="1:22" hidden="1">
      <c r="A318" s="37">
        <v>318</v>
      </c>
      <c r="B318" s="17" t="s">
        <v>1287</v>
      </c>
      <c r="C318" s="147">
        <v>46160</v>
      </c>
      <c r="D318" s="14" t="s">
        <v>24</v>
      </c>
      <c r="E318" s="14" t="s">
        <v>289</v>
      </c>
      <c r="F318" s="14" t="s">
        <v>26</v>
      </c>
      <c r="G318" s="14" t="s">
        <v>290</v>
      </c>
      <c r="H318" s="14" t="s">
        <v>806</v>
      </c>
      <c r="I318" s="17" t="s">
        <v>62</v>
      </c>
      <c r="J318" s="17">
        <v>5</v>
      </c>
      <c r="K318" s="14" t="s">
        <v>38</v>
      </c>
      <c r="L318" s="17" t="s">
        <v>31</v>
      </c>
      <c r="M318" s="14" t="s">
        <v>1502</v>
      </c>
      <c r="N318" s="7" t="s">
        <v>1503</v>
      </c>
      <c r="O318" s="24" t="s">
        <v>1504</v>
      </c>
      <c r="P318" s="24" t="s">
        <v>1505</v>
      </c>
      <c r="R318" s="14" t="s">
        <v>33</v>
      </c>
      <c r="S318" s="14" t="s">
        <v>373</v>
      </c>
      <c r="T318" s="14" t="s">
        <v>1275</v>
      </c>
      <c r="V318" s="14" t="s">
        <v>1026</v>
      </c>
    </row>
    <row r="319" spans="1:22" hidden="1">
      <c r="A319" s="37">
        <v>319</v>
      </c>
      <c r="B319" s="17" t="s">
        <v>1287</v>
      </c>
      <c r="C319" s="147">
        <v>46160</v>
      </c>
      <c r="D319" s="14" t="s">
        <v>24</v>
      </c>
      <c r="E319" s="14" t="s">
        <v>138</v>
      </c>
      <c r="F319" s="14" t="s">
        <v>26</v>
      </c>
      <c r="G319" s="14" t="s">
        <v>1506</v>
      </c>
      <c r="H319" s="14" t="s">
        <v>681</v>
      </c>
      <c r="I319" s="17" t="s">
        <v>62</v>
      </c>
      <c r="J319" s="17" t="s">
        <v>31</v>
      </c>
      <c r="K319" s="14" t="s">
        <v>63</v>
      </c>
      <c r="L319" s="17" t="s">
        <v>31</v>
      </c>
      <c r="M319" s="14" t="s">
        <v>1507</v>
      </c>
      <c r="N319" s="7" t="s">
        <v>1508</v>
      </c>
      <c r="O319" s="24" t="s">
        <v>1509</v>
      </c>
      <c r="P319" s="24" t="s">
        <v>1510</v>
      </c>
      <c r="R319" s="14" t="s">
        <v>43</v>
      </c>
      <c r="S319" s="14" t="s">
        <v>43</v>
      </c>
      <c r="T319" s="14" t="s">
        <v>1511</v>
      </c>
      <c r="V319" s="14" t="s">
        <v>1051</v>
      </c>
    </row>
    <row r="320" spans="1:22" hidden="1">
      <c r="A320" s="37">
        <v>321</v>
      </c>
      <c r="B320" s="17" t="s">
        <v>1287</v>
      </c>
      <c r="C320" s="147">
        <v>46160</v>
      </c>
      <c r="D320" s="14" t="s">
        <v>24</v>
      </c>
      <c r="E320" s="14" t="s">
        <v>25</v>
      </c>
      <c r="F320" s="14" t="s">
        <v>26</v>
      </c>
      <c r="G320" s="14" t="s">
        <v>217</v>
      </c>
      <c r="H320" s="14" t="s">
        <v>1512</v>
      </c>
      <c r="I320" s="17" t="s">
        <v>29</v>
      </c>
      <c r="J320" s="17">
        <v>4</v>
      </c>
      <c r="K320" s="14" t="s">
        <v>38</v>
      </c>
      <c r="L320" s="17" t="s">
        <v>31</v>
      </c>
      <c r="M320" s="14" t="s">
        <v>1513</v>
      </c>
      <c r="N320" s="7" t="s">
        <v>1514</v>
      </c>
      <c r="O320" s="24" t="s">
        <v>1515</v>
      </c>
      <c r="P320" s="24" t="s">
        <v>1516</v>
      </c>
      <c r="R320" s="14" t="s">
        <v>399</v>
      </c>
      <c r="S320" s="14" t="s">
        <v>33</v>
      </c>
      <c r="T320" s="14" t="s">
        <v>382</v>
      </c>
      <c r="V320" s="14" t="s">
        <v>1026</v>
      </c>
    </row>
    <row r="321" spans="1:23" hidden="1">
      <c r="A321" s="37">
        <v>322</v>
      </c>
      <c r="B321" s="17" t="s">
        <v>1287</v>
      </c>
      <c r="C321" s="147">
        <v>46162</v>
      </c>
      <c r="D321" s="14" t="s">
        <v>24</v>
      </c>
      <c r="E321" s="14" t="s">
        <v>675</v>
      </c>
      <c r="F321" s="14" t="s">
        <v>26</v>
      </c>
      <c r="G321" s="14" t="s">
        <v>676</v>
      </c>
      <c r="H321" s="14" t="s">
        <v>291</v>
      </c>
      <c r="I321" s="17" t="s">
        <v>37</v>
      </c>
      <c r="J321" s="17">
        <v>1</v>
      </c>
      <c r="K321" s="14" t="s">
        <v>1517</v>
      </c>
      <c r="L321" s="17" t="s">
        <v>31</v>
      </c>
      <c r="M321" s="14" t="s">
        <v>1518</v>
      </c>
      <c r="N321" s="7" t="s">
        <v>1519</v>
      </c>
      <c r="O321" s="24" t="s">
        <v>1520</v>
      </c>
      <c r="P321" s="24" t="s">
        <v>173</v>
      </c>
      <c r="R321" s="14" t="s">
        <v>399</v>
      </c>
      <c r="S321" s="14" t="s">
        <v>33</v>
      </c>
      <c r="T321" s="14" t="s">
        <v>1521</v>
      </c>
      <c r="V321" s="14" t="s">
        <v>1026</v>
      </c>
    </row>
    <row r="322" spans="1:23" hidden="1">
      <c r="A322" s="37">
        <v>323</v>
      </c>
      <c r="B322" s="17" t="s">
        <v>1287</v>
      </c>
      <c r="C322" s="147">
        <v>46162</v>
      </c>
      <c r="D322" s="14" t="s">
        <v>24</v>
      </c>
      <c r="E322" s="14" t="s">
        <v>211</v>
      </c>
      <c r="F322" s="14" t="s">
        <v>26</v>
      </c>
      <c r="G322" s="14" t="s">
        <v>212</v>
      </c>
      <c r="H322" s="14" t="s">
        <v>522</v>
      </c>
      <c r="I322" s="17" t="s">
        <v>37</v>
      </c>
      <c r="J322" s="17">
        <v>1</v>
      </c>
      <c r="K322" s="14" t="s">
        <v>38</v>
      </c>
      <c r="L322" s="17" t="s">
        <v>31</v>
      </c>
      <c r="M322" s="14" t="s">
        <v>1522</v>
      </c>
      <c r="N322" s="7" t="s">
        <v>1523</v>
      </c>
      <c r="O322" s="24" t="s">
        <v>1524</v>
      </c>
      <c r="P322" s="24" t="s">
        <v>1525</v>
      </c>
      <c r="R322" s="14" t="s">
        <v>399</v>
      </c>
      <c r="S322" s="14" t="s">
        <v>43</v>
      </c>
      <c r="T322" s="14" t="s">
        <v>1526</v>
      </c>
      <c r="U322" s="14" t="s">
        <v>43</v>
      </c>
      <c r="V322" s="14" t="s">
        <v>1026</v>
      </c>
      <c r="W322" s="14" t="s">
        <v>1527</v>
      </c>
    </row>
    <row r="323" spans="1:23" hidden="1">
      <c r="A323" s="37">
        <v>324</v>
      </c>
      <c r="B323" s="17" t="s">
        <v>1287</v>
      </c>
      <c r="C323" s="147">
        <v>46163</v>
      </c>
      <c r="D323" s="14" t="s">
        <v>24</v>
      </c>
      <c r="E323" s="14" t="s">
        <v>25</v>
      </c>
      <c r="F323" s="14" t="s">
        <v>26</v>
      </c>
      <c r="G323" s="14" t="s">
        <v>217</v>
      </c>
      <c r="H323" s="14" t="s">
        <v>1512</v>
      </c>
      <c r="I323" s="17" t="s">
        <v>62</v>
      </c>
      <c r="J323" s="17">
        <v>3</v>
      </c>
      <c r="K323" s="14" t="s">
        <v>90</v>
      </c>
      <c r="L323" s="17" t="s">
        <v>31</v>
      </c>
      <c r="M323" s="14" t="s">
        <v>1528</v>
      </c>
      <c r="N323" s="7" t="s">
        <v>1529</v>
      </c>
      <c r="O323" s="24" t="s">
        <v>1530</v>
      </c>
      <c r="P323" s="24" t="s">
        <v>1531</v>
      </c>
      <c r="R323" s="14" t="s">
        <v>43</v>
      </c>
      <c r="S323" s="14" t="s">
        <v>43</v>
      </c>
      <c r="T323" s="14" t="s">
        <v>1532</v>
      </c>
      <c r="V323" s="14" t="s">
        <v>1051</v>
      </c>
    </row>
    <row r="324" spans="1:23" hidden="1">
      <c r="A324" s="37">
        <v>325</v>
      </c>
      <c r="B324" s="17" t="s">
        <v>1287</v>
      </c>
      <c r="C324" s="147">
        <v>46163</v>
      </c>
      <c r="D324" s="14" t="s">
        <v>24</v>
      </c>
      <c r="E324" s="14" t="s">
        <v>74</v>
      </c>
      <c r="F324" s="14" t="s">
        <v>26</v>
      </c>
      <c r="G324" s="14" t="s">
        <v>769</v>
      </c>
      <c r="H324" s="14" t="s">
        <v>76</v>
      </c>
      <c r="I324" s="17" t="s">
        <v>62</v>
      </c>
      <c r="J324" s="17" t="s">
        <v>31</v>
      </c>
      <c r="K324" s="14" t="s">
        <v>63</v>
      </c>
      <c r="L324" s="17" t="s">
        <v>31</v>
      </c>
      <c r="M324" s="14" t="s">
        <v>1533</v>
      </c>
      <c r="N324" s="7" t="s">
        <v>1534</v>
      </c>
      <c r="O324" s="24" t="s">
        <v>1535</v>
      </c>
      <c r="P324" s="24" t="s">
        <v>1536</v>
      </c>
      <c r="R324" s="14" t="s">
        <v>43</v>
      </c>
      <c r="S324" s="14" t="s">
        <v>33</v>
      </c>
      <c r="T324" s="14" t="s">
        <v>382</v>
      </c>
      <c r="V324" s="14" t="s">
        <v>1051</v>
      </c>
    </row>
    <row r="325" spans="1:23" hidden="1">
      <c r="A325" s="37">
        <v>326</v>
      </c>
      <c r="B325" s="17" t="s">
        <v>1287</v>
      </c>
      <c r="C325" s="147">
        <v>46163</v>
      </c>
      <c r="D325" s="14" t="s">
        <v>24</v>
      </c>
      <c r="E325" s="14" t="s">
        <v>543</v>
      </c>
      <c r="F325" s="14" t="s">
        <v>26</v>
      </c>
      <c r="G325" s="14" t="s">
        <v>1175</v>
      </c>
      <c r="H325" s="14" t="s">
        <v>94</v>
      </c>
      <c r="I325" s="17" t="s">
        <v>62</v>
      </c>
      <c r="J325" s="17" t="s">
        <v>31</v>
      </c>
      <c r="K325" s="14" t="s">
        <v>63</v>
      </c>
      <c r="L325" s="17" t="s">
        <v>31</v>
      </c>
      <c r="M325" s="14" t="s">
        <v>1537</v>
      </c>
      <c r="N325" s="7" t="s">
        <v>1538</v>
      </c>
      <c r="O325" s="24" t="s">
        <v>1539</v>
      </c>
      <c r="P325" s="24" t="s">
        <v>1540</v>
      </c>
      <c r="R325" s="14" t="s">
        <v>43</v>
      </c>
      <c r="S325" s="14" t="s">
        <v>43</v>
      </c>
      <c r="T325" s="14" t="s">
        <v>1541</v>
      </c>
      <c r="V325" s="14" t="s">
        <v>1051</v>
      </c>
    </row>
    <row r="326" spans="1:23" hidden="1">
      <c r="A326" s="37">
        <v>327</v>
      </c>
      <c r="B326" s="17" t="s">
        <v>1287</v>
      </c>
      <c r="C326" s="147">
        <v>46164</v>
      </c>
      <c r="D326" s="14" t="s">
        <v>24</v>
      </c>
      <c r="E326" s="14" t="s">
        <v>784</v>
      </c>
      <c r="F326" s="14" t="s">
        <v>26</v>
      </c>
      <c r="G326" s="14" t="s">
        <v>824</v>
      </c>
      <c r="H326" s="14" t="s">
        <v>1109</v>
      </c>
      <c r="I326" s="17" t="s">
        <v>29</v>
      </c>
      <c r="J326" s="17">
        <v>1</v>
      </c>
      <c r="K326" s="14" t="s">
        <v>38</v>
      </c>
      <c r="L326" s="17" t="s">
        <v>31</v>
      </c>
      <c r="M326" s="14" t="s">
        <v>1542</v>
      </c>
      <c r="N326" s="7" t="s">
        <v>1543</v>
      </c>
      <c r="O326" s="24" t="s">
        <v>1544</v>
      </c>
      <c r="P326" s="24" t="s">
        <v>1545</v>
      </c>
      <c r="R326" s="14" t="s">
        <v>43</v>
      </c>
      <c r="S326" s="14" t="s">
        <v>43</v>
      </c>
      <c r="T326" s="14" t="s">
        <v>1546</v>
      </c>
      <c r="V326" s="14" t="s">
        <v>1051</v>
      </c>
    </row>
    <row r="327" spans="1:23" ht="34.5" hidden="1" customHeight="1">
      <c r="A327" s="37">
        <v>328</v>
      </c>
      <c r="B327" s="17" t="s">
        <v>1287</v>
      </c>
      <c r="C327" s="147">
        <v>46164</v>
      </c>
      <c r="D327" s="14" t="s">
        <v>24</v>
      </c>
      <c r="E327" s="14" t="s">
        <v>82</v>
      </c>
      <c r="F327" s="14" t="s">
        <v>26</v>
      </c>
      <c r="G327" s="14" t="s">
        <v>139</v>
      </c>
      <c r="H327" s="14" t="s">
        <v>84</v>
      </c>
      <c r="I327" s="17" t="s">
        <v>29</v>
      </c>
      <c r="J327" s="17">
        <v>5</v>
      </c>
      <c r="K327" s="14" t="s">
        <v>38</v>
      </c>
      <c r="L327" s="17" t="s">
        <v>163</v>
      </c>
      <c r="M327" s="32" t="s">
        <v>1547</v>
      </c>
      <c r="N327" s="7" t="s">
        <v>1548</v>
      </c>
      <c r="O327" s="24" t="s">
        <v>1549</v>
      </c>
      <c r="P327" s="24" t="s">
        <v>1550</v>
      </c>
      <c r="R327" s="14" t="s">
        <v>43</v>
      </c>
      <c r="S327" s="14" t="s">
        <v>33</v>
      </c>
      <c r="T327" s="14" t="s">
        <v>382</v>
      </c>
      <c r="V327" s="14" t="s">
        <v>1051</v>
      </c>
    </row>
    <row r="328" spans="1:23" ht="45">
      <c r="A328" s="37">
        <v>329</v>
      </c>
      <c r="B328" s="17" t="s">
        <v>1287</v>
      </c>
      <c r="C328" s="147">
        <v>46164</v>
      </c>
      <c r="D328" s="14" t="s">
        <v>24</v>
      </c>
      <c r="E328" s="14" t="s">
        <v>96</v>
      </c>
      <c r="F328" s="14" t="s">
        <v>26</v>
      </c>
      <c r="G328" s="14" t="s">
        <v>144</v>
      </c>
      <c r="H328" s="14" t="s">
        <v>596</v>
      </c>
      <c r="I328" s="17" t="s">
        <v>29</v>
      </c>
      <c r="J328" s="17">
        <v>1</v>
      </c>
      <c r="K328" s="14" t="s">
        <v>38</v>
      </c>
      <c r="L328" s="17" t="s">
        <v>31</v>
      </c>
      <c r="M328" s="32" t="s">
        <v>1551</v>
      </c>
      <c r="N328" s="128" t="s">
        <v>1552</v>
      </c>
      <c r="O328" s="127" t="s">
        <v>1553</v>
      </c>
      <c r="P328" s="127" t="s">
        <v>1554</v>
      </c>
      <c r="R328" s="14" t="s">
        <v>399</v>
      </c>
      <c r="S328" s="14" t="s">
        <v>43</v>
      </c>
      <c r="T328" s="14" t="s">
        <v>1555</v>
      </c>
      <c r="V328" s="38" t="s">
        <v>1079</v>
      </c>
    </row>
    <row r="329" spans="1:23" ht="22.5" hidden="1">
      <c r="A329" s="37">
        <v>330</v>
      </c>
      <c r="B329" s="17" t="s">
        <v>1287</v>
      </c>
      <c r="C329" s="147">
        <v>46165</v>
      </c>
      <c r="D329" s="14" t="s">
        <v>24</v>
      </c>
      <c r="E329" s="14" t="s">
        <v>814</v>
      </c>
      <c r="F329" s="14" t="s">
        <v>26</v>
      </c>
      <c r="G329" s="14" t="s">
        <v>401</v>
      </c>
      <c r="H329" s="14" t="s">
        <v>1288</v>
      </c>
      <c r="I329" s="17" t="s">
        <v>37</v>
      </c>
      <c r="J329" s="17">
        <v>1</v>
      </c>
      <c r="K329" s="14" t="s">
        <v>38</v>
      </c>
      <c r="L329" s="17" t="s">
        <v>31</v>
      </c>
      <c r="M329" s="14" t="s">
        <v>1556</v>
      </c>
      <c r="N329" s="160" t="s">
        <v>1557</v>
      </c>
      <c r="O329" s="159" t="s">
        <v>1558</v>
      </c>
      <c r="P329" s="159" t="s">
        <v>1559</v>
      </c>
      <c r="R329" s="14" t="s">
        <v>1145</v>
      </c>
      <c r="S329" s="14" t="s">
        <v>1421</v>
      </c>
      <c r="T329" s="14" t="s">
        <v>382</v>
      </c>
      <c r="V329" s="38" t="s">
        <v>1079</v>
      </c>
    </row>
    <row r="330" spans="1:23" ht="90">
      <c r="A330" s="37">
        <v>331</v>
      </c>
      <c r="B330" s="17" t="s">
        <v>1287</v>
      </c>
      <c r="C330" s="147">
        <v>46165</v>
      </c>
      <c r="D330" s="14" t="s">
        <v>24</v>
      </c>
      <c r="E330" s="14" t="s">
        <v>96</v>
      </c>
      <c r="F330" s="14" t="s">
        <v>26</v>
      </c>
      <c r="G330" s="14" t="s">
        <v>1560</v>
      </c>
      <c r="H330" s="14" t="s">
        <v>140</v>
      </c>
      <c r="I330" s="17" t="s">
        <v>29</v>
      </c>
      <c r="J330" s="17">
        <v>6</v>
      </c>
      <c r="K330" s="32" t="s">
        <v>1561</v>
      </c>
      <c r="L330" s="17" t="s">
        <v>31</v>
      </c>
      <c r="M330" s="32" t="s">
        <v>1562</v>
      </c>
      <c r="N330" s="128" t="s">
        <v>1563</v>
      </c>
      <c r="O330" s="127" t="s">
        <v>1564</v>
      </c>
      <c r="P330" s="127" t="s">
        <v>1565</v>
      </c>
      <c r="R330" s="14" t="s">
        <v>43</v>
      </c>
      <c r="S330" s="14" t="s">
        <v>43</v>
      </c>
      <c r="T330" s="14" t="s">
        <v>1566</v>
      </c>
      <c r="V330" s="38" t="s">
        <v>1079</v>
      </c>
    </row>
    <row r="331" spans="1:23" ht="33.75" hidden="1">
      <c r="A331" s="37">
        <v>332</v>
      </c>
      <c r="B331" s="17" t="s">
        <v>1287</v>
      </c>
      <c r="C331" s="147">
        <v>46166</v>
      </c>
      <c r="D331" s="14" t="s">
        <v>24</v>
      </c>
      <c r="E331" s="14" t="s">
        <v>559</v>
      </c>
      <c r="F331" s="14" t="s">
        <v>26</v>
      </c>
      <c r="G331" s="14" t="s">
        <v>560</v>
      </c>
      <c r="H331" s="14" t="s">
        <v>1567</v>
      </c>
      <c r="I331" s="17" t="s">
        <v>29</v>
      </c>
      <c r="J331" s="17">
        <v>6</v>
      </c>
      <c r="K331" s="32" t="s">
        <v>1568</v>
      </c>
      <c r="L331" s="17" t="s">
        <v>31</v>
      </c>
      <c r="M331" s="32" t="s">
        <v>1569</v>
      </c>
      <c r="N331" s="128" t="s">
        <v>1570</v>
      </c>
      <c r="O331" s="127" t="s">
        <v>1571</v>
      </c>
      <c r="P331" s="127" t="s">
        <v>1572</v>
      </c>
      <c r="R331" s="14" t="s">
        <v>43</v>
      </c>
      <c r="S331" s="14" t="s">
        <v>43</v>
      </c>
      <c r="T331" s="14" t="s">
        <v>1573</v>
      </c>
      <c r="V331" s="38" t="s">
        <v>1079</v>
      </c>
    </row>
    <row r="332" spans="1:23" hidden="1">
      <c r="A332" s="37">
        <v>333</v>
      </c>
      <c r="B332" s="17" t="s">
        <v>1287</v>
      </c>
      <c r="C332" s="147">
        <v>46166</v>
      </c>
      <c r="D332" s="14" t="s">
        <v>24</v>
      </c>
      <c r="E332" s="14" t="s">
        <v>1574</v>
      </c>
      <c r="F332" s="14" t="s">
        <v>392</v>
      </c>
      <c r="G332" s="14" t="s">
        <v>1090</v>
      </c>
      <c r="H332" s="14" t="s">
        <v>1091</v>
      </c>
      <c r="I332" s="17" t="s">
        <v>62</v>
      </c>
      <c r="J332" s="17">
        <v>5</v>
      </c>
      <c r="K332" s="14" t="s">
        <v>1575</v>
      </c>
      <c r="L332" s="17" t="s">
        <v>31</v>
      </c>
      <c r="M332" s="14" t="s">
        <v>1576</v>
      </c>
      <c r="N332" s="128" t="s">
        <v>1577</v>
      </c>
      <c r="O332" s="127" t="s">
        <v>1578</v>
      </c>
      <c r="P332" s="127" t="s">
        <v>1579</v>
      </c>
      <c r="R332" s="14" t="s">
        <v>43</v>
      </c>
      <c r="S332" s="14" t="s">
        <v>33</v>
      </c>
      <c r="T332" s="14" t="s">
        <v>1580</v>
      </c>
      <c r="V332" s="38" t="s">
        <v>1079</v>
      </c>
    </row>
    <row r="333" spans="1:23" hidden="1">
      <c r="A333" s="37">
        <v>334</v>
      </c>
      <c r="B333" s="17" t="s">
        <v>1287</v>
      </c>
      <c r="C333" s="147">
        <v>46167</v>
      </c>
      <c r="D333" s="14" t="s">
        <v>24</v>
      </c>
      <c r="E333" s="14" t="s">
        <v>1581</v>
      </c>
      <c r="F333" s="14" t="s">
        <v>26</v>
      </c>
      <c r="G333" s="14" t="s">
        <v>93</v>
      </c>
      <c r="H333" s="14" t="s">
        <v>1582</v>
      </c>
      <c r="I333" s="17" t="s">
        <v>29</v>
      </c>
      <c r="J333" s="17">
        <v>2</v>
      </c>
      <c r="K333" s="14" t="s">
        <v>34</v>
      </c>
      <c r="L333" s="17" t="s">
        <v>31</v>
      </c>
      <c r="M333" s="14" t="s">
        <v>1583</v>
      </c>
      <c r="N333" s="7" t="s">
        <v>1584</v>
      </c>
      <c r="O333" s="24" t="s">
        <v>1585</v>
      </c>
      <c r="P333" s="24" t="s">
        <v>1586</v>
      </c>
      <c r="R333" s="14" t="s">
        <v>43</v>
      </c>
      <c r="S333" s="14" t="s">
        <v>43</v>
      </c>
      <c r="T333" s="14" t="s">
        <v>1587</v>
      </c>
      <c r="V333" s="14" t="s">
        <v>1026</v>
      </c>
    </row>
    <row r="334" spans="1:23" ht="69.75">
      <c r="A334" s="37">
        <v>335</v>
      </c>
      <c r="B334" s="17" t="s">
        <v>1287</v>
      </c>
      <c r="C334" s="147">
        <v>46167</v>
      </c>
      <c r="D334" s="14" t="s">
        <v>24</v>
      </c>
      <c r="E334" s="14" t="s">
        <v>96</v>
      </c>
      <c r="F334" s="14" t="s">
        <v>26</v>
      </c>
      <c r="G334" s="14" t="s">
        <v>1090</v>
      </c>
      <c r="H334" s="14" t="s">
        <v>145</v>
      </c>
      <c r="I334" s="17" t="s">
        <v>29</v>
      </c>
      <c r="J334" s="17">
        <v>5</v>
      </c>
      <c r="K334" s="32" t="s">
        <v>1588</v>
      </c>
      <c r="L334" s="17" t="s">
        <v>31</v>
      </c>
      <c r="M334" s="32" t="s">
        <v>1589</v>
      </c>
      <c r="N334" s="152" t="s">
        <v>1590</v>
      </c>
      <c r="O334" s="36" t="s">
        <v>1591</v>
      </c>
      <c r="P334" s="158" t="s">
        <v>1592</v>
      </c>
      <c r="R334" s="14" t="s">
        <v>43</v>
      </c>
      <c r="S334" s="14" t="s">
        <v>43</v>
      </c>
      <c r="T334" s="14" t="s">
        <v>1593</v>
      </c>
      <c r="V334" s="14" t="s">
        <v>1051</v>
      </c>
    </row>
    <row r="335" spans="1:23" ht="12.75" hidden="1" customHeight="1">
      <c r="A335" s="37">
        <v>336</v>
      </c>
      <c r="B335" s="17" t="s">
        <v>1287</v>
      </c>
      <c r="C335" s="147">
        <v>46167</v>
      </c>
      <c r="D335" s="14" t="s">
        <v>24</v>
      </c>
      <c r="E335" s="14" t="s">
        <v>82</v>
      </c>
      <c r="F335" s="14" t="s">
        <v>26</v>
      </c>
      <c r="G335" s="14" t="s">
        <v>83</v>
      </c>
      <c r="H335" s="14" t="s">
        <v>956</v>
      </c>
      <c r="I335" s="17" t="s">
        <v>62</v>
      </c>
      <c r="J335" s="17" t="s">
        <v>31</v>
      </c>
      <c r="K335" s="14" t="s">
        <v>63</v>
      </c>
      <c r="L335" s="17" t="s">
        <v>31</v>
      </c>
      <c r="M335" s="14" t="s">
        <v>1594</v>
      </c>
      <c r="N335" s="7" t="s">
        <v>1595</v>
      </c>
      <c r="O335" s="24" t="s">
        <v>1596</v>
      </c>
      <c r="P335" s="24" t="s">
        <v>1597</v>
      </c>
      <c r="R335" s="14" t="s">
        <v>33</v>
      </c>
      <c r="S335" s="14" t="s">
        <v>373</v>
      </c>
      <c r="T335" s="14" t="s">
        <v>1275</v>
      </c>
      <c r="V335" s="14" t="s">
        <v>1026</v>
      </c>
    </row>
    <row r="336" spans="1:23" ht="87.75" hidden="1" customHeight="1">
      <c r="A336" s="151">
        <v>337</v>
      </c>
      <c r="B336" s="152" t="s">
        <v>1287</v>
      </c>
      <c r="C336" s="156">
        <v>46168</v>
      </c>
      <c r="D336" s="150" t="s">
        <v>24</v>
      </c>
      <c r="E336" s="150" t="s">
        <v>109</v>
      </c>
      <c r="F336" s="14" t="s">
        <v>392</v>
      </c>
      <c r="G336" s="150" t="s">
        <v>110</v>
      </c>
      <c r="H336" s="150" t="s">
        <v>1362</v>
      </c>
      <c r="I336" s="152" t="s">
        <v>62</v>
      </c>
      <c r="J336" s="152">
        <v>1</v>
      </c>
      <c r="K336" s="150" t="s">
        <v>1598</v>
      </c>
      <c r="L336" s="152" t="s">
        <v>163</v>
      </c>
      <c r="M336" s="150" t="s">
        <v>1599</v>
      </c>
      <c r="N336" s="7" t="s">
        <v>1600</v>
      </c>
      <c r="O336" s="24" t="s">
        <v>1601</v>
      </c>
      <c r="P336" s="24" t="s">
        <v>1602</v>
      </c>
      <c r="R336" s="14" t="s">
        <v>1145</v>
      </c>
      <c r="S336" s="14" t="s">
        <v>33</v>
      </c>
      <c r="T336" s="14" t="s">
        <v>1603</v>
      </c>
      <c r="V336" s="14" t="s">
        <v>1079</v>
      </c>
    </row>
    <row r="337" spans="1:23" hidden="1">
      <c r="A337" s="37">
        <v>338</v>
      </c>
      <c r="B337" s="17" t="s">
        <v>1287</v>
      </c>
      <c r="C337" s="147">
        <v>46168</v>
      </c>
      <c r="D337" s="14" t="s">
        <v>24</v>
      </c>
      <c r="E337" s="14" t="s">
        <v>74</v>
      </c>
      <c r="F337" s="14" t="s">
        <v>26</v>
      </c>
      <c r="G337" s="14" t="s">
        <v>769</v>
      </c>
      <c r="H337" s="14" t="s">
        <v>230</v>
      </c>
      <c r="I337" s="17" t="s">
        <v>29</v>
      </c>
      <c r="J337" s="17">
        <v>5</v>
      </c>
      <c r="K337" s="14" t="s">
        <v>38</v>
      </c>
      <c r="L337" s="17" t="s">
        <v>31</v>
      </c>
      <c r="M337" s="14" t="s">
        <v>1604</v>
      </c>
      <c r="N337" s="7" t="s">
        <v>1605</v>
      </c>
      <c r="O337" s="24" t="s">
        <v>1606</v>
      </c>
      <c r="P337" s="24" t="s">
        <v>1607</v>
      </c>
      <c r="R337" s="14" t="s">
        <v>43</v>
      </c>
      <c r="S337" s="14" t="s">
        <v>43</v>
      </c>
      <c r="T337" s="14" t="s">
        <v>1608</v>
      </c>
      <c r="V337" s="14" t="s">
        <v>1051</v>
      </c>
      <c r="W337" s="14" t="s">
        <v>1609</v>
      </c>
    </row>
    <row r="338" spans="1:23" hidden="1">
      <c r="A338" s="37">
        <v>339</v>
      </c>
      <c r="B338" s="17" t="s">
        <v>1287</v>
      </c>
      <c r="C338" s="147">
        <v>46169</v>
      </c>
      <c r="D338" s="14" t="s">
        <v>24</v>
      </c>
      <c r="E338" s="14" t="s">
        <v>1610</v>
      </c>
      <c r="F338" s="14" t="s">
        <v>392</v>
      </c>
      <c r="G338" s="14" t="s">
        <v>199</v>
      </c>
      <c r="H338" s="14" t="s">
        <v>908</v>
      </c>
      <c r="I338" s="17" t="s">
        <v>37</v>
      </c>
      <c r="J338" s="17">
        <v>5</v>
      </c>
      <c r="K338" s="14" t="s">
        <v>194</v>
      </c>
      <c r="L338" s="17" t="s">
        <v>31</v>
      </c>
      <c r="M338" s="14" t="s">
        <v>1611</v>
      </c>
      <c r="N338" s="7" t="s">
        <v>1612</v>
      </c>
      <c r="O338" s="24" t="s">
        <v>1613</v>
      </c>
      <c r="P338" s="24" t="s">
        <v>1614</v>
      </c>
      <c r="R338" s="14" t="s">
        <v>43</v>
      </c>
      <c r="S338" s="14" t="s">
        <v>43</v>
      </c>
      <c r="T338" s="14" t="s">
        <v>1615</v>
      </c>
      <c r="V338" s="14" t="s">
        <v>1051</v>
      </c>
      <c r="W338" s="14" t="s">
        <v>1616</v>
      </c>
    </row>
    <row r="339" spans="1:23" ht="33.75" hidden="1">
      <c r="A339" s="37">
        <v>340</v>
      </c>
      <c r="B339" s="17" t="s">
        <v>1287</v>
      </c>
      <c r="C339" s="147">
        <v>46170</v>
      </c>
      <c r="D339" s="14" t="s">
        <v>24</v>
      </c>
      <c r="E339" s="14" t="s">
        <v>1581</v>
      </c>
      <c r="F339" s="14" t="s">
        <v>26</v>
      </c>
      <c r="G339" s="14" t="s">
        <v>1617</v>
      </c>
      <c r="H339" s="14" t="s">
        <v>1582</v>
      </c>
      <c r="I339" s="17" t="s">
        <v>62</v>
      </c>
      <c r="J339" s="17">
        <v>1</v>
      </c>
      <c r="K339" s="32" t="s">
        <v>1618</v>
      </c>
      <c r="L339" s="17" t="s">
        <v>163</v>
      </c>
      <c r="M339" s="32" t="s">
        <v>1619</v>
      </c>
      <c r="N339" s="7" t="s">
        <v>1620</v>
      </c>
      <c r="O339" s="24" t="s">
        <v>1621</v>
      </c>
      <c r="P339" s="24" t="s">
        <v>1622</v>
      </c>
      <c r="R339" s="14" t="s">
        <v>43</v>
      </c>
      <c r="S339" s="14" t="s">
        <v>33</v>
      </c>
      <c r="T339" s="14" t="s">
        <v>1227</v>
      </c>
      <c r="V339" s="14" t="s">
        <v>1051</v>
      </c>
    </row>
    <row r="340" spans="1:23" hidden="1">
      <c r="A340" s="37">
        <v>341</v>
      </c>
      <c r="B340" s="17" t="s">
        <v>1287</v>
      </c>
      <c r="C340" s="147">
        <v>46171</v>
      </c>
      <c r="D340" s="14" t="s">
        <v>24</v>
      </c>
      <c r="E340" s="14" t="s">
        <v>25</v>
      </c>
      <c r="F340" s="14" t="s">
        <v>26</v>
      </c>
      <c r="G340" s="14" t="s">
        <v>1205</v>
      </c>
      <c r="H340" s="14" t="s">
        <v>1512</v>
      </c>
      <c r="I340" s="17" t="s">
        <v>62</v>
      </c>
      <c r="J340" s="17" t="s">
        <v>31</v>
      </c>
      <c r="K340" s="14" t="s">
        <v>63</v>
      </c>
      <c r="L340" s="17" t="s">
        <v>31</v>
      </c>
      <c r="M340" s="14" t="s">
        <v>1623</v>
      </c>
      <c r="N340" s="7" t="s">
        <v>1624</v>
      </c>
      <c r="O340" s="24" t="s">
        <v>1625</v>
      </c>
      <c r="P340" s="24" t="s">
        <v>1626</v>
      </c>
      <c r="R340" s="14" t="s">
        <v>43</v>
      </c>
      <c r="S340" s="14" t="s">
        <v>33</v>
      </c>
      <c r="T340" s="14" t="s">
        <v>1227</v>
      </c>
      <c r="V340" s="14" t="s">
        <v>1051</v>
      </c>
    </row>
    <row r="341" spans="1:23" ht="30.75" hidden="1" customHeight="1">
      <c r="A341" s="37">
        <v>342</v>
      </c>
      <c r="B341" s="17" t="s">
        <v>1287</v>
      </c>
      <c r="C341" s="147">
        <v>46171</v>
      </c>
      <c r="D341" s="32" t="s">
        <v>24</v>
      </c>
      <c r="E341" s="14" t="s">
        <v>138</v>
      </c>
      <c r="F341" s="14" t="s">
        <v>392</v>
      </c>
      <c r="G341" s="14" t="s">
        <v>139</v>
      </c>
      <c r="H341" s="14" t="s">
        <v>140</v>
      </c>
      <c r="I341" s="17" t="s">
        <v>29</v>
      </c>
      <c r="J341" s="17">
        <v>3</v>
      </c>
      <c r="K341" s="32" t="s">
        <v>1627</v>
      </c>
      <c r="L341" s="17" t="s">
        <v>31</v>
      </c>
      <c r="M341" s="32" t="s">
        <v>1628</v>
      </c>
      <c r="N341" s="7" t="s">
        <v>1629</v>
      </c>
      <c r="O341" s="24" t="s">
        <v>1630</v>
      </c>
      <c r="P341" s="24" t="s">
        <v>1631</v>
      </c>
      <c r="R341" s="14" t="s">
        <v>43</v>
      </c>
      <c r="S341" s="14" t="s">
        <v>33</v>
      </c>
      <c r="T341" s="14" t="s">
        <v>1227</v>
      </c>
      <c r="V341" s="14" t="s">
        <v>1051</v>
      </c>
    </row>
    <row r="342" spans="1:23" ht="75" hidden="1" customHeight="1">
      <c r="A342" s="37">
        <v>343</v>
      </c>
      <c r="B342" s="17" t="s">
        <v>1287</v>
      </c>
      <c r="C342" s="147">
        <v>46172</v>
      </c>
      <c r="D342" s="14" t="s">
        <v>24</v>
      </c>
      <c r="E342" s="14" t="s">
        <v>383</v>
      </c>
      <c r="F342" s="14" t="s">
        <v>26</v>
      </c>
      <c r="G342" s="14" t="s">
        <v>477</v>
      </c>
      <c r="H342" s="14" t="s">
        <v>1091</v>
      </c>
      <c r="I342" s="17" t="s">
        <v>62</v>
      </c>
      <c r="J342" s="17">
        <v>3</v>
      </c>
      <c r="K342" s="32" t="s">
        <v>1632</v>
      </c>
      <c r="L342" s="17" t="s">
        <v>31</v>
      </c>
      <c r="M342" s="32" t="s">
        <v>1633</v>
      </c>
      <c r="N342" s="7" t="s">
        <v>1634</v>
      </c>
      <c r="O342" s="24" t="s">
        <v>1635</v>
      </c>
      <c r="P342" s="24" t="s">
        <v>1636</v>
      </c>
      <c r="R342" s="14" t="s">
        <v>43</v>
      </c>
      <c r="S342" s="14" t="s">
        <v>33</v>
      </c>
      <c r="T342" s="14" t="s">
        <v>382</v>
      </c>
      <c r="V342" s="14" t="s">
        <v>1026</v>
      </c>
    </row>
    <row r="343" spans="1:23" ht="54.75" hidden="1" customHeight="1">
      <c r="A343" s="37">
        <v>344</v>
      </c>
      <c r="B343" s="17" t="s">
        <v>1287</v>
      </c>
      <c r="C343" s="147">
        <v>46172</v>
      </c>
      <c r="D343" s="14" t="s">
        <v>24</v>
      </c>
      <c r="E343" s="14" t="s">
        <v>1154</v>
      </c>
      <c r="F343" s="14" t="s">
        <v>26</v>
      </c>
      <c r="G343" s="14" t="s">
        <v>1405</v>
      </c>
      <c r="H343" s="14" t="s">
        <v>1406</v>
      </c>
      <c r="I343" s="17" t="s">
        <v>37</v>
      </c>
      <c r="J343" s="17">
        <v>3</v>
      </c>
      <c r="K343" s="32" t="s">
        <v>1637</v>
      </c>
      <c r="M343" s="32" t="s">
        <v>1638</v>
      </c>
      <c r="N343" s="7" t="s">
        <v>1408</v>
      </c>
      <c r="O343" s="24" t="s">
        <v>1409</v>
      </c>
      <c r="P343" s="24" t="s">
        <v>1410</v>
      </c>
      <c r="R343" s="14" t="s">
        <v>43</v>
      </c>
      <c r="S343" s="14" t="s">
        <v>43</v>
      </c>
      <c r="T343" s="32" t="s">
        <v>1639</v>
      </c>
      <c r="U343" s="14" t="s">
        <v>373</v>
      </c>
      <c r="V343" s="14" t="s">
        <v>1026</v>
      </c>
      <c r="W343" s="14" t="s">
        <v>1147</v>
      </c>
    </row>
    <row r="344" spans="1:23" ht="78.75" hidden="1">
      <c r="A344" s="37">
        <v>345</v>
      </c>
      <c r="B344" s="17" t="s">
        <v>1640</v>
      </c>
      <c r="C344" s="147">
        <v>46174</v>
      </c>
      <c r="D344" s="14" t="s">
        <v>24</v>
      </c>
      <c r="E344" s="14" t="s">
        <v>784</v>
      </c>
      <c r="F344" s="14" t="s">
        <v>26</v>
      </c>
      <c r="G344" s="14" t="s">
        <v>269</v>
      </c>
      <c r="H344" s="14" t="s">
        <v>1362</v>
      </c>
      <c r="I344" s="17" t="s">
        <v>62</v>
      </c>
      <c r="J344" s="17">
        <v>1</v>
      </c>
      <c r="K344" s="32" t="s">
        <v>1618</v>
      </c>
      <c r="L344" s="17" t="s">
        <v>31</v>
      </c>
      <c r="M344" s="32" t="s">
        <v>1641</v>
      </c>
      <c r="N344" s="7" t="s">
        <v>1642</v>
      </c>
      <c r="O344" s="50" t="s">
        <v>1643</v>
      </c>
      <c r="P344" s="50" t="s">
        <v>1644</v>
      </c>
      <c r="R344" s="14" t="s">
        <v>43</v>
      </c>
      <c r="S344" s="14" t="s">
        <v>43</v>
      </c>
      <c r="T344" s="14" t="s">
        <v>1645</v>
      </c>
      <c r="U344" s="14" t="s">
        <v>1646</v>
      </c>
      <c r="V344" s="14" t="s">
        <v>1026</v>
      </c>
      <c r="W344" s="14" t="s">
        <v>1275</v>
      </c>
    </row>
    <row r="345" spans="1:23" hidden="1">
      <c r="A345" s="37">
        <v>346</v>
      </c>
      <c r="B345" s="17" t="s">
        <v>1640</v>
      </c>
      <c r="C345" s="147">
        <v>46174</v>
      </c>
      <c r="D345" s="14" t="s">
        <v>24</v>
      </c>
      <c r="E345" s="14" t="s">
        <v>198</v>
      </c>
      <c r="F345" s="14" t="s">
        <v>26</v>
      </c>
      <c r="G345" s="14" t="s">
        <v>199</v>
      </c>
      <c r="H345" s="14" t="s">
        <v>447</v>
      </c>
      <c r="I345" s="17" t="s">
        <v>29</v>
      </c>
      <c r="J345" s="17">
        <v>6</v>
      </c>
      <c r="K345" s="14" t="s">
        <v>34</v>
      </c>
      <c r="L345" s="17" t="s">
        <v>31</v>
      </c>
      <c r="M345" s="14" t="s">
        <v>1647</v>
      </c>
      <c r="N345" s="7" t="s">
        <v>1648</v>
      </c>
      <c r="O345" s="24" t="s">
        <v>1649</v>
      </c>
      <c r="P345" s="24" t="s">
        <v>1650</v>
      </c>
      <c r="R345" s="14" t="s">
        <v>1145</v>
      </c>
      <c r="S345" s="14" t="s">
        <v>33</v>
      </c>
      <c r="T345" s="14" t="s">
        <v>1651</v>
      </c>
      <c r="V345" s="14" t="s">
        <v>1079</v>
      </c>
      <c r="W345" s="14" t="s">
        <v>1147</v>
      </c>
    </row>
    <row r="346" spans="1:23" ht="22.5" hidden="1">
      <c r="A346" s="37">
        <v>347</v>
      </c>
      <c r="B346" s="17" t="s">
        <v>1640</v>
      </c>
      <c r="C346" s="147">
        <v>46174</v>
      </c>
      <c r="D346" s="150" t="s">
        <v>24</v>
      </c>
      <c r="E346" s="14" t="s">
        <v>543</v>
      </c>
      <c r="F346" s="14" t="s">
        <v>26</v>
      </c>
      <c r="G346" s="14" t="s">
        <v>1175</v>
      </c>
      <c r="H346" s="14" t="s">
        <v>1080</v>
      </c>
      <c r="I346" s="17" t="s">
        <v>62</v>
      </c>
      <c r="J346" s="17" t="s">
        <v>31</v>
      </c>
      <c r="K346" s="14" t="s">
        <v>63</v>
      </c>
      <c r="L346" s="17" t="s">
        <v>31</v>
      </c>
      <c r="M346" s="14" t="s">
        <v>1652</v>
      </c>
      <c r="N346" s="7" t="s">
        <v>1653</v>
      </c>
      <c r="O346" s="24" t="s">
        <v>1654</v>
      </c>
      <c r="P346" s="24" t="s">
        <v>1655</v>
      </c>
      <c r="R346" s="14" t="s">
        <v>1145</v>
      </c>
      <c r="S346" s="14" t="s">
        <v>1145</v>
      </c>
      <c r="T346" s="14" t="s">
        <v>1656</v>
      </c>
      <c r="V346" s="14" t="s">
        <v>1079</v>
      </c>
      <c r="W346" s="14" t="s">
        <v>1275</v>
      </c>
    </row>
    <row r="347" spans="1:23" ht="62.25" hidden="1" customHeight="1">
      <c r="A347" s="37">
        <v>348</v>
      </c>
      <c r="B347" s="17" t="s">
        <v>1640</v>
      </c>
      <c r="C347" s="147">
        <v>46174</v>
      </c>
      <c r="D347" s="14" t="s">
        <v>24</v>
      </c>
      <c r="E347" s="14" t="s">
        <v>82</v>
      </c>
      <c r="F347" s="14" t="s">
        <v>26</v>
      </c>
      <c r="G347" s="14" t="s">
        <v>139</v>
      </c>
      <c r="H347" s="14" t="s">
        <v>84</v>
      </c>
      <c r="I347" s="17" t="s">
        <v>62</v>
      </c>
      <c r="J347" s="17">
        <v>1</v>
      </c>
      <c r="K347" s="150" t="s">
        <v>1598</v>
      </c>
      <c r="L347" s="17" t="s">
        <v>31</v>
      </c>
      <c r="M347" s="157" t="s">
        <v>1657</v>
      </c>
      <c r="N347" s="7" t="s">
        <v>1548</v>
      </c>
      <c r="O347" s="24" t="s">
        <v>1549</v>
      </c>
      <c r="P347" s="24" t="s">
        <v>1550</v>
      </c>
      <c r="R347" s="14" t="s">
        <v>1145</v>
      </c>
      <c r="S347" s="14" t="s">
        <v>1145</v>
      </c>
      <c r="T347" s="14" t="s">
        <v>1658</v>
      </c>
      <c r="V347" s="14" t="s">
        <v>1079</v>
      </c>
    </row>
    <row r="348" spans="1:23" ht="22.5" hidden="1">
      <c r="A348" s="37">
        <v>349</v>
      </c>
      <c r="B348" s="17" t="s">
        <v>1640</v>
      </c>
      <c r="C348" s="147">
        <v>46174</v>
      </c>
      <c r="D348" s="14" t="s">
        <v>24</v>
      </c>
      <c r="E348" s="14" t="s">
        <v>543</v>
      </c>
      <c r="F348" s="14" t="s">
        <v>26</v>
      </c>
      <c r="G348" s="14" t="s">
        <v>1175</v>
      </c>
      <c r="H348" s="14" t="s">
        <v>545</v>
      </c>
      <c r="I348" s="17" t="s">
        <v>62</v>
      </c>
      <c r="J348" s="17" t="s">
        <v>31</v>
      </c>
      <c r="K348" s="14" t="s">
        <v>63</v>
      </c>
      <c r="L348" s="17" t="s">
        <v>31</v>
      </c>
      <c r="M348" s="157" t="s">
        <v>1659</v>
      </c>
      <c r="N348" s="7" t="s">
        <v>1660</v>
      </c>
      <c r="O348" s="24" t="s">
        <v>1661</v>
      </c>
      <c r="P348" s="24" t="s">
        <v>1662</v>
      </c>
      <c r="R348" s="14" t="s">
        <v>43</v>
      </c>
      <c r="S348" s="14" t="s">
        <v>43</v>
      </c>
      <c r="T348" s="14" t="s">
        <v>1663</v>
      </c>
      <c r="V348" s="14" t="s">
        <v>1051</v>
      </c>
      <c r="W348" s="14" t="s">
        <v>1275</v>
      </c>
    </row>
    <row r="349" spans="1:23" hidden="1">
      <c r="A349" s="37">
        <v>350</v>
      </c>
      <c r="B349" s="17" t="s">
        <v>1640</v>
      </c>
      <c r="C349" s="147">
        <v>46175</v>
      </c>
      <c r="D349" s="14" t="s">
        <v>24</v>
      </c>
      <c r="E349" s="14" t="s">
        <v>82</v>
      </c>
      <c r="F349" s="14" t="s">
        <v>26</v>
      </c>
      <c r="G349" s="14" t="s">
        <v>83</v>
      </c>
      <c r="H349" s="14" t="s">
        <v>154</v>
      </c>
      <c r="I349" s="17" t="s">
        <v>62</v>
      </c>
      <c r="J349" s="17" t="s">
        <v>31</v>
      </c>
      <c r="K349" s="14" t="s">
        <v>63</v>
      </c>
      <c r="L349" s="17" t="s">
        <v>31</v>
      </c>
      <c r="M349" s="14" t="s">
        <v>1664</v>
      </c>
      <c r="N349" s="7" t="s">
        <v>1665</v>
      </c>
      <c r="O349" s="24" t="s">
        <v>1666</v>
      </c>
      <c r="P349" s="24" t="s">
        <v>1667</v>
      </c>
      <c r="R349" s="14" t="s">
        <v>33</v>
      </c>
      <c r="S349" s="14" t="s">
        <v>373</v>
      </c>
      <c r="T349" s="14" t="s">
        <v>1275</v>
      </c>
      <c r="V349" s="14" t="s">
        <v>1026</v>
      </c>
      <c r="W349" s="14" t="s">
        <v>1275</v>
      </c>
    </row>
    <row r="350" spans="1:23" hidden="1">
      <c r="A350" s="37">
        <v>351</v>
      </c>
      <c r="B350" s="17" t="s">
        <v>1640</v>
      </c>
      <c r="C350" s="147">
        <v>46175</v>
      </c>
      <c r="D350" s="14" t="s">
        <v>24</v>
      </c>
      <c r="E350" s="14" t="s">
        <v>211</v>
      </c>
      <c r="F350" s="14" t="s">
        <v>392</v>
      </c>
      <c r="G350" s="14" t="s">
        <v>212</v>
      </c>
      <c r="H350" s="14" t="s">
        <v>522</v>
      </c>
      <c r="I350" s="17" t="s">
        <v>29</v>
      </c>
      <c r="J350" s="17">
        <v>4</v>
      </c>
      <c r="K350" s="14" t="s">
        <v>38</v>
      </c>
      <c r="L350" s="17" t="s">
        <v>31</v>
      </c>
      <c r="M350" s="14" t="s">
        <v>1668</v>
      </c>
      <c r="N350" s="7" t="s">
        <v>1669</v>
      </c>
      <c r="O350" s="24" t="s">
        <v>1670</v>
      </c>
      <c r="P350" s="24" t="s">
        <v>1671</v>
      </c>
      <c r="R350" s="14" t="s">
        <v>33</v>
      </c>
      <c r="S350" s="14" t="s">
        <v>33</v>
      </c>
      <c r="T350" s="14" t="s">
        <v>1672</v>
      </c>
      <c r="U350" s="14" t="s">
        <v>43</v>
      </c>
      <c r="V350" s="14" t="s">
        <v>1026</v>
      </c>
    </row>
    <row r="351" spans="1:23" ht="22.5" hidden="1">
      <c r="A351" s="37">
        <v>352</v>
      </c>
      <c r="B351" s="17" t="s">
        <v>1640</v>
      </c>
      <c r="C351" s="147">
        <v>46175</v>
      </c>
      <c r="D351" s="150" t="s">
        <v>24</v>
      </c>
      <c r="E351" s="14" t="s">
        <v>211</v>
      </c>
      <c r="F351" s="14" t="s">
        <v>26</v>
      </c>
      <c r="G351" s="14" t="s">
        <v>1090</v>
      </c>
      <c r="H351" s="14" t="s">
        <v>478</v>
      </c>
      <c r="I351" s="17" t="s">
        <v>37</v>
      </c>
      <c r="J351" s="17">
        <v>5</v>
      </c>
      <c r="K351" s="14" t="s">
        <v>194</v>
      </c>
      <c r="L351" s="17" t="s">
        <v>31</v>
      </c>
      <c r="M351" s="14" t="s">
        <v>1673</v>
      </c>
      <c r="N351" s="7" t="s">
        <v>1674</v>
      </c>
      <c r="O351" s="24" t="s">
        <v>1675</v>
      </c>
      <c r="P351" s="24" t="s">
        <v>1676</v>
      </c>
      <c r="R351" s="14" t="s">
        <v>33</v>
      </c>
      <c r="S351" s="14" t="s">
        <v>373</v>
      </c>
      <c r="T351" s="14" t="s">
        <v>1677</v>
      </c>
      <c r="V351" s="14" t="s">
        <v>1026</v>
      </c>
    </row>
    <row r="352" spans="1:23" hidden="1">
      <c r="A352" s="37">
        <v>353</v>
      </c>
      <c r="B352" s="17" t="s">
        <v>1640</v>
      </c>
      <c r="C352" s="147">
        <v>46175</v>
      </c>
      <c r="D352" s="14" t="s">
        <v>24</v>
      </c>
      <c r="E352" s="14" t="s">
        <v>121</v>
      </c>
      <c r="F352" s="14" t="s">
        <v>26</v>
      </c>
      <c r="G352" s="14" t="s">
        <v>132</v>
      </c>
      <c r="H352" s="14" t="s">
        <v>287</v>
      </c>
      <c r="I352" s="17" t="s">
        <v>62</v>
      </c>
      <c r="J352" s="17" t="s">
        <v>31</v>
      </c>
      <c r="K352" s="14" t="s">
        <v>63</v>
      </c>
      <c r="L352" s="17" t="s">
        <v>31</v>
      </c>
      <c r="M352" s="14" t="s">
        <v>1678</v>
      </c>
      <c r="N352" s="7" t="s">
        <v>1679</v>
      </c>
      <c r="O352" s="24" t="s">
        <v>1680</v>
      </c>
      <c r="P352" s="24" t="s">
        <v>1681</v>
      </c>
      <c r="R352" s="14" t="s">
        <v>33</v>
      </c>
      <c r="S352" s="14" t="s">
        <v>373</v>
      </c>
      <c r="T352" s="14" t="s">
        <v>1275</v>
      </c>
      <c r="V352" s="14" t="s">
        <v>1026</v>
      </c>
    </row>
    <row r="353" spans="1:23" ht="46.5" hidden="1">
      <c r="A353" s="37">
        <v>354</v>
      </c>
      <c r="B353" s="17" t="s">
        <v>1640</v>
      </c>
      <c r="C353" s="147">
        <v>46176</v>
      </c>
      <c r="D353" s="14" t="s">
        <v>24</v>
      </c>
      <c r="E353" s="14" t="s">
        <v>1682</v>
      </c>
      <c r="F353" s="14" t="s">
        <v>392</v>
      </c>
      <c r="G353" s="14" t="s">
        <v>1155</v>
      </c>
      <c r="H353" s="14" t="s">
        <v>1683</v>
      </c>
      <c r="I353" s="17" t="s">
        <v>62</v>
      </c>
      <c r="J353" s="17">
        <v>4</v>
      </c>
      <c r="K353" s="32" t="s">
        <v>1618</v>
      </c>
      <c r="L353" s="17" t="s">
        <v>31</v>
      </c>
      <c r="M353" s="32" t="s">
        <v>1684</v>
      </c>
      <c r="N353" s="7" t="s">
        <v>1685</v>
      </c>
      <c r="O353" s="24" t="s">
        <v>1686</v>
      </c>
      <c r="P353" s="24" t="s">
        <v>1687</v>
      </c>
      <c r="V353" s="14" t="s">
        <v>1026</v>
      </c>
    </row>
    <row r="354" spans="1:23" ht="56.25">
      <c r="A354" s="37">
        <v>355</v>
      </c>
      <c r="B354" s="17" t="s">
        <v>1640</v>
      </c>
      <c r="C354" s="147">
        <v>46176</v>
      </c>
      <c r="D354" s="14" t="s">
        <v>24</v>
      </c>
      <c r="E354" s="14" t="s">
        <v>96</v>
      </c>
      <c r="F354" s="14" t="s">
        <v>392</v>
      </c>
      <c r="G354" s="14" t="s">
        <v>83</v>
      </c>
      <c r="H354" s="14" t="s">
        <v>1295</v>
      </c>
      <c r="I354" s="17" t="s">
        <v>37</v>
      </c>
      <c r="J354" s="17">
        <v>1</v>
      </c>
      <c r="K354" s="32" t="s">
        <v>1688</v>
      </c>
      <c r="L354" s="17" t="s">
        <v>31</v>
      </c>
      <c r="M354" s="32" t="s">
        <v>1689</v>
      </c>
      <c r="N354" s="7" t="s">
        <v>1401</v>
      </c>
      <c r="O354" s="24" t="s">
        <v>1402</v>
      </c>
      <c r="P354" s="24" t="s">
        <v>1403</v>
      </c>
      <c r="V354" s="14" t="s">
        <v>1051</v>
      </c>
    </row>
    <row r="355" spans="1:23" hidden="1">
      <c r="A355" s="37">
        <v>356</v>
      </c>
      <c r="B355" s="17" t="s">
        <v>1640</v>
      </c>
      <c r="C355" s="147">
        <v>46176</v>
      </c>
      <c r="D355" s="14" t="s">
        <v>24</v>
      </c>
      <c r="E355" s="14" t="s">
        <v>894</v>
      </c>
      <c r="F355" s="14" t="s">
        <v>26</v>
      </c>
      <c r="G355" s="14" t="s">
        <v>1319</v>
      </c>
      <c r="H355" s="14" t="s">
        <v>1357</v>
      </c>
      <c r="I355" s="17" t="s">
        <v>62</v>
      </c>
      <c r="J355" s="17" t="s">
        <v>31</v>
      </c>
      <c r="K355" s="14" t="s">
        <v>63</v>
      </c>
      <c r="L355" s="17" t="s">
        <v>31</v>
      </c>
      <c r="M355" s="14" t="s">
        <v>1690</v>
      </c>
      <c r="N355" s="7" t="s">
        <v>1691</v>
      </c>
      <c r="O355" s="24" t="s">
        <v>1692</v>
      </c>
      <c r="P355" s="24" t="s">
        <v>1693</v>
      </c>
      <c r="V355" s="14" t="s">
        <v>1051</v>
      </c>
    </row>
    <row r="356" spans="1:23" ht="56.25" hidden="1">
      <c r="A356" s="37">
        <v>357</v>
      </c>
      <c r="B356" s="17" t="s">
        <v>1640</v>
      </c>
      <c r="C356" s="147">
        <v>46177</v>
      </c>
      <c r="D356" s="32" t="s">
        <v>24</v>
      </c>
      <c r="E356" s="14" t="s">
        <v>138</v>
      </c>
      <c r="F356" s="14" t="s">
        <v>26</v>
      </c>
      <c r="G356" s="14" t="s">
        <v>1506</v>
      </c>
      <c r="H356" s="14" t="s">
        <v>681</v>
      </c>
      <c r="I356" s="17" t="s">
        <v>62</v>
      </c>
      <c r="J356" s="17">
        <v>2</v>
      </c>
      <c r="K356" s="32" t="s">
        <v>1694</v>
      </c>
      <c r="L356" s="17" t="s">
        <v>31</v>
      </c>
      <c r="M356" s="161" t="s">
        <v>1695</v>
      </c>
      <c r="N356" s="7" t="s">
        <v>1696</v>
      </c>
      <c r="O356" s="24" t="s">
        <v>1697</v>
      </c>
      <c r="P356" s="24" t="s">
        <v>1698</v>
      </c>
      <c r="V356" s="14" t="s">
        <v>1051</v>
      </c>
    </row>
    <row r="357" spans="1:23" hidden="1">
      <c r="A357" s="37">
        <v>358</v>
      </c>
      <c r="B357" s="17" t="s">
        <v>1640</v>
      </c>
      <c r="C357" s="147">
        <v>46178</v>
      </c>
      <c r="D357" s="14" t="s">
        <v>24</v>
      </c>
      <c r="E357" s="14" t="s">
        <v>784</v>
      </c>
      <c r="F357" s="14" t="s">
        <v>26</v>
      </c>
      <c r="G357" s="14" t="s">
        <v>269</v>
      </c>
      <c r="H357" s="14" t="s">
        <v>67</v>
      </c>
      <c r="I357" s="17" t="s">
        <v>29</v>
      </c>
      <c r="J357" s="17">
        <v>1</v>
      </c>
      <c r="K357" s="14" t="s">
        <v>34</v>
      </c>
      <c r="L357" s="17" t="s">
        <v>31</v>
      </c>
      <c r="M357" s="14" t="s">
        <v>1699</v>
      </c>
      <c r="N357" s="7" t="s">
        <v>1700</v>
      </c>
      <c r="O357" s="24" t="s">
        <v>1701</v>
      </c>
      <c r="P357" s="24" t="s">
        <v>1702</v>
      </c>
      <c r="V357" s="14" t="s">
        <v>1051</v>
      </c>
    </row>
    <row r="358" spans="1:23" hidden="1">
      <c r="A358" s="37">
        <v>359</v>
      </c>
      <c r="B358" s="17" t="s">
        <v>1640</v>
      </c>
      <c r="C358" s="147">
        <v>46178</v>
      </c>
      <c r="D358" s="14" t="s">
        <v>24</v>
      </c>
      <c r="E358" s="14" t="s">
        <v>794</v>
      </c>
      <c r="F358" s="14" t="s">
        <v>26</v>
      </c>
      <c r="G358" s="14" t="s">
        <v>401</v>
      </c>
      <c r="H358" s="14" t="s">
        <v>796</v>
      </c>
      <c r="I358" s="17" t="s">
        <v>62</v>
      </c>
      <c r="J358" s="17" t="s">
        <v>31</v>
      </c>
      <c r="K358" s="14" t="s">
        <v>63</v>
      </c>
      <c r="L358" s="17" t="s">
        <v>31</v>
      </c>
      <c r="M358" s="14" t="s">
        <v>1703</v>
      </c>
      <c r="N358" s="7" t="s">
        <v>1704</v>
      </c>
      <c r="O358" s="24" t="s">
        <v>1705</v>
      </c>
      <c r="P358" s="24" t="s">
        <v>1706</v>
      </c>
      <c r="V358" s="14" t="s">
        <v>1051</v>
      </c>
    </row>
    <row r="359" spans="1:23" hidden="1">
      <c r="A359" s="37">
        <v>360</v>
      </c>
      <c r="B359" s="17" t="s">
        <v>1640</v>
      </c>
      <c r="C359" s="147">
        <v>46178</v>
      </c>
      <c r="D359" s="14" t="s">
        <v>24</v>
      </c>
      <c r="E359" s="14" t="s">
        <v>101</v>
      </c>
      <c r="F359" s="14" t="s">
        <v>26</v>
      </c>
      <c r="G359" s="14" t="s">
        <v>102</v>
      </c>
      <c r="H359" s="14" t="s">
        <v>103</v>
      </c>
      <c r="I359" s="17" t="s">
        <v>37</v>
      </c>
      <c r="J359" s="17">
        <v>2</v>
      </c>
      <c r="K359" s="14" t="s">
        <v>38</v>
      </c>
      <c r="L359" s="17" t="s">
        <v>31</v>
      </c>
      <c r="M359" s="14" t="s">
        <v>1707</v>
      </c>
      <c r="N359" s="7" t="s">
        <v>1708</v>
      </c>
      <c r="O359" s="127" t="s">
        <v>1709</v>
      </c>
      <c r="P359" s="127" t="s">
        <v>1710</v>
      </c>
      <c r="Q359" s="143"/>
      <c r="R359" s="38" t="s">
        <v>1145</v>
      </c>
      <c r="S359" s="38" t="s">
        <v>43</v>
      </c>
      <c r="T359" s="38" t="s">
        <v>1711</v>
      </c>
      <c r="U359" s="38"/>
      <c r="V359" s="38" t="s">
        <v>1079</v>
      </c>
      <c r="W359" s="14" t="s">
        <v>1712</v>
      </c>
    </row>
    <row r="360" spans="1:23" hidden="1">
      <c r="A360" s="37">
        <v>361</v>
      </c>
      <c r="B360" s="17" t="s">
        <v>1640</v>
      </c>
      <c r="C360" s="147">
        <v>46179</v>
      </c>
      <c r="D360" s="14" t="s">
        <v>24</v>
      </c>
      <c r="E360" s="14" t="s">
        <v>1713</v>
      </c>
      <c r="F360" s="14" t="s">
        <v>26</v>
      </c>
      <c r="G360" s="14" t="s">
        <v>994</v>
      </c>
      <c r="H360" s="14" t="s">
        <v>430</v>
      </c>
      <c r="I360" s="17" t="s">
        <v>37</v>
      </c>
      <c r="J360" s="17">
        <v>5</v>
      </c>
      <c r="K360" s="14" t="s">
        <v>90</v>
      </c>
      <c r="L360" s="17" t="s">
        <v>31</v>
      </c>
      <c r="M360" s="14" t="s">
        <v>1714</v>
      </c>
      <c r="N360" s="7" t="s">
        <v>1715</v>
      </c>
      <c r="O360" s="127" t="s">
        <v>1716</v>
      </c>
      <c r="P360" s="127" t="s">
        <v>1717</v>
      </c>
      <c r="Q360" s="143"/>
      <c r="R360" s="38" t="s">
        <v>43</v>
      </c>
      <c r="S360" s="38" t="s">
        <v>43</v>
      </c>
      <c r="T360" s="38" t="s">
        <v>1718</v>
      </c>
      <c r="U360" s="38"/>
      <c r="V360" s="38" t="s">
        <v>1079</v>
      </c>
      <c r="W360" s="14" t="s">
        <v>1719</v>
      </c>
    </row>
    <row r="361" spans="1:23" ht="22.5" hidden="1">
      <c r="A361" s="37">
        <v>362</v>
      </c>
      <c r="B361" s="17" t="s">
        <v>1640</v>
      </c>
      <c r="C361" s="147">
        <v>46179</v>
      </c>
      <c r="D361" s="150" t="s">
        <v>24</v>
      </c>
      <c r="E361" s="14" t="s">
        <v>309</v>
      </c>
      <c r="F361" s="14" t="s">
        <v>26</v>
      </c>
      <c r="G361" s="14" t="s">
        <v>895</v>
      </c>
      <c r="H361" s="14" t="s">
        <v>1357</v>
      </c>
      <c r="I361" s="17" t="s">
        <v>29</v>
      </c>
      <c r="J361" s="17">
        <v>2</v>
      </c>
      <c r="K361" s="14" t="s">
        <v>34</v>
      </c>
      <c r="L361" s="17" t="s">
        <v>31</v>
      </c>
      <c r="M361" s="14" t="s">
        <v>1720</v>
      </c>
      <c r="N361" s="7" t="s">
        <v>1721</v>
      </c>
      <c r="O361" s="127" t="s">
        <v>1722</v>
      </c>
      <c r="P361" s="127" t="s">
        <v>1723</v>
      </c>
      <c r="Q361" s="143"/>
      <c r="R361" s="38" t="s">
        <v>43</v>
      </c>
      <c r="S361" s="38" t="s">
        <v>43</v>
      </c>
      <c r="T361" s="38" t="s">
        <v>1724</v>
      </c>
      <c r="U361" s="38"/>
      <c r="V361" s="38" t="s">
        <v>1079</v>
      </c>
      <c r="W361" s="14" t="s">
        <v>1147</v>
      </c>
    </row>
    <row r="362" spans="1:23" hidden="1">
      <c r="A362" s="37">
        <v>363</v>
      </c>
      <c r="B362" s="17" t="s">
        <v>1640</v>
      </c>
      <c r="C362" s="147">
        <v>46180</v>
      </c>
      <c r="D362" s="14" t="s">
        <v>24</v>
      </c>
      <c r="E362" s="62" t="s">
        <v>814</v>
      </c>
      <c r="F362" s="14" t="s">
        <v>26</v>
      </c>
      <c r="G362" s="14" t="s">
        <v>815</v>
      </c>
      <c r="H362" s="14" t="s">
        <v>1470</v>
      </c>
      <c r="I362" s="17" t="s">
        <v>29</v>
      </c>
      <c r="J362" s="17">
        <v>3</v>
      </c>
      <c r="K362" s="14" t="s">
        <v>30</v>
      </c>
      <c r="L362" s="17" t="s">
        <v>31</v>
      </c>
      <c r="M362" s="14" t="s">
        <v>1725</v>
      </c>
      <c r="N362" s="7" t="s">
        <v>1726</v>
      </c>
      <c r="O362" s="127" t="s">
        <v>1727</v>
      </c>
      <c r="P362" s="127" t="s">
        <v>1728</v>
      </c>
      <c r="Q362" s="143"/>
      <c r="R362" s="38" t="s">
        <v>43</v>
      </c>
      <c r="S362" s="38" t="s">
        <v>43</v>
      </c>
      <c r="T362" s="38" t="s">
        <v>1729</v>
      </c>
      <c r="U362" s="38"/>
      <c r="V362" s="38" t="s">
        <v>1079</v>
      </c>
      <c r="W362" s="14" t="s">
        <v>1730</v>
      </c>
    </row>
    <row r="363" spans="1:23" hidden="1">
      <c r="A363" s="37">
        <v>364</v>
      </c>
      <c r="B363" s="17" t="s">
        <v>1640</v>
      </c>
      <c r="C363" s="147">
        <v>46180</v>
      </c>
      <c r="D363" s="14" t="s">
        <v>24</v>
      </c>
      <c r="E363" s="14" t="s">
        <v>109</v>
      </c>
      <c r="F363" s="14" t="s">
        <v>26</v>
      </c>
      <c r="G363" s="14" t="s">
        <v>110</v>
      </c>
      <c r="H363" s="14" t="s">
        <v>1362</v>
      </c>
      <c r="I363" s="17" t="s">
        <v>62</v>
      </c>
      <c r="J363" s="17">
        <v>1</v>
      </c>
      <c r="K363" s="14" t="s">
        <v>90</v>
      </c>
      <c r="L363" s="17" t="s">
        <v>31</v>
      </c>
      <c r="M363" s="14" t="s">
        <v>1731</v>
      </c>
      <c r="N363" s="7" t="s">
        <v>1732</v>
      </c>
      <c r="O363" s="127" t="s">
        <v>1733</v>
      </c>
      <c r="P363" s="127" t="s">
        <v>1734</v>
      </c>
      <c r="Q363" s="143"/>
      <c r="R363" s="38" t="s">
        <v>43</v>
      </c>
      <c r="S363" s="38" t="s">
        <v>43</v>
      </c>
      <c r="T363" s="38" t="s">
        <v>1735</v>
      </c>
      <c r="U363" s="38"/>
      <c r="V363" s="38" t="s">
        <v>1079</v>
      </c>
      <c r="W363" s="14" t="s">
        <v>1736</v>
      </c>
    </row>
    <row r="364" spans="1:23" ht="24.75" hidden="1" customHeight="1">
      <c r="A364" s="37">
        <v>365</v>
      </c>
      <c r="B364" s="17" t="s">
        <v>1640</v>
      </c>
      <c r="C364" s="147">
        <v>46181</v>
      </c>
      <c r="D364" s="14" t="s">
        <v>24</v>
      </c>
      <c r="E364" s="14" t="s">
        <v>1737</v>
      </c>
      <c r="F364" s="14" t="s">
        <v>392</v>
      </c>
      <c r="G364" s="14" t="s">
        <v>1738</v>
      </c>
      <c r="H364" s="14" t="s">
        <v>1739</v>
      </c>
      <c r="I364" s="17" t="s">
        <v>37</v>
      </c>
      <c r="J364" s="17">
        <v>6</v>
      </c>
      <c r="K364" s="32" t="s">
        <v>1740</v>
      </c>
      <c r="L364" s="17" t="s">
        <v>31</v>
      </c>
      <c r="M364" s="32" t="s">
        <v>1741</v>
      </c>
      <c r="N364" s="7" t="s">
        <v>1742</v>
      </c>
      <c r="O364" s="24" t="s">
        <v>1743</v>
      </c>
      <c r="P364" s="24" t="s">
        <v>1744</v>
      </c>
      <c r="R364" s="14" t="s">
        <v>43</v>
      </c>
      <c r="S364" s="14" t="s">
        <v>33</v>
      </c>
      <c r="T364" s="14" t="s">
        <v>382</v>
      </c>
      <c r="V364" s="14" t="s">
        <v>1079</v>
      </c>
    </row>
    <row r="365" spans="1:23">
      <c r="A365" s="37">
        <v>366</v>
      </c>
      <c r="B365" s="17" t="s">
        <v>1640</v>
      </c>
      <c r="C365" s="147">
        <v>46181</v>
      </c>
      <c r="D365" s="14" t="s">
        <v>24</v>
      </c>
      <c r="E365" s="62" t="s">
        <v>96</v>
      </c>
      <c r="F365" s="14" t="s">
        <v>26</v>
      </c>
      <c r="G365" s="14" t="s">
        <v>139</v>
      </c>
      <c r="H365" s="14" t="s">
        <v>1295</v>
      </c>
      <c r="I365" s="17" t="s">
        <v>29</v>
      </c>
      <c r="J365" s="17">
        <v>5</v>
      </c>
      <c r="K365" s="14" t="s">
        <v>38</v>
      </c>
      <c r="L365" s="17" t="s">
        <v>31</v>
      </c>
      <c r="M365" s="14" t="s">
        <v>1745</v>
      </c>
      <c r="N365" s="7" t="s">
        <v>1746</v>
      </c>
      <c r="O365" s="24" t="s">
        <v>1747</v>
      </c>
      <c r="P365" s="24" t="s">
        <v>1748</v>
      </c>
      <c r="R365" s="14" t="s">
        <v>43</v>
      </c>
      <c r="S365" s="14" t="s">
        <v>43</v>
      </c>
      <c r="T365" s="14" t="s">
        <v>1749</v>
      </c>
      <c r="V365" s="14" t="s">
        <v>1079</v>
      </c>
    </row>
    <row r="366" spans="1:23" ht="22.5" hidden="1">
      <c r="A366" s="37">
        <v>367</v>
      </c>
      <c r="B366" s="17" t="s">
        <v>1640</v>
      </c>
      <c r="C366" s="147">
        <v>46182</v>
      </c>
      <c r="D366" s="150" t="s">
        <v>24</v>
      </c>
      <c r="E366" s="14" t="s">
        <v>178</v>
      </c>
      <c r="F366" s="14" t="s">
        <v>26</v>
      </c>
      <c r="G366" s="14" t="s">
        <v>824</v>
      </c>
      <c r="H366" s="14" t="s">
        <v>1750</v>
      </c>
      <c r="I366" s="17" t="s">
        <v>62</v>
      </c>
      <c r="J366" s="17">
        <v>6</v>
      </c>
      <c r="K366" s="14" t="s">
        <v>38</v>
      </c>
      <c r="L366" s="17" t="s">
        <v>31</v>
      </c>
      <c r="M366" s="14" t="s">
        <v>1751</v>
      </c>
      <c r="N366" s="7" t="s">
        <v>1752</v>
      </c>
      <c r="O366" s="24" t="s">
        <v>1753</v>
      </c>
      <c r="P366" s="24" t="s">
        <v>1754</v>
      </c>
      <c r="R366" s="14" t="s">
        <v>43</v>
      </c>
      <c r="S366" s="14" t="s">
        <v>33</v>
      </c>
      <c r="T366" s="14" t="s">
        <v>1078</v>
      </c>
      <c r="V366" s="14" t="s">
        <v>1079</v>
      </c>
    </row>
    <row r="367" spans="1:23" hidden="1">
      <c r="A367" s="37">
        <v>368</v>
      </c>
      <c r="B367" s="17" t="s">
        <v>1640</v>
      </c>
      <c r="C367" s="147">
        <v>46182</v>
      </c>
      <c r="D367" s="14" t="s">
        <v>24</v>
      </c>
      <c r="E367" s="14" t="s">
        <v>178</v>
      </c>
      <c r="F367" s="14" t="s">
        <v>26</v>
      </c>
      <c r="G367" s="14" t="s">
        <v>1755</v>
      </c>
      <c r="H367" s="14" t="s">
        <v>259</v>
      </c>
      <c r="I367" s="17" t="s">
        <v>29</v>
      </c>
      <c r="J367" s="17">
        <v>5</v>
      </c>
      <c r="K367" s="14" t="s">
        <v>38</v>
      </c>
      <c r="L367" s="17" t="s">
        <v>31</v>
      </c>
      <c r="M367" s="14" t="s">
        <v>1756</v>
      </c>
      <c r="N367" s="7" t="s">
        <v>1757</v>
      </c>
      <c r="O367" s="24" t="s">
        <v>1758</v>
      </c>
      <c r="P367" s="24" t="s">
        <v>1759</v>
      </c>
      <c r="R367" s="14" t="s">
        <v>43</v>
      </c>
      <c r="S367" s="14" t="s">
        <v>43</v>
      </c>
      <c r="T367" s="14" t="s">
        <v>1760</v>
      </c>
      <c r="V367" s="14" t="s">
        <v>1079</v>
      </c>
    </row>
    <row r="368" spans="1:23" ht="57.75">
      <c r="A368" s="37">
        <v>369</v>
      </c>
      <c r="B368" s="17" t="s">
        <v>1640</v>
      </c>
      <c r="C368" s="147">
        <v>46183</v>
      </c>
      <c r="D368" s="14" t="s">
        <v>24</v>
      </c>
      <c r="E368" s="14" t="s">
        <v>96</v>
      </c>
      <c r="F368" s="14" t="s">
        <v>392</v>
      </c>
      <c r="G368" s="14" t="s">
        <v>97</v>
      </c>
      <c r="H368" s="14" t="s">
        <v>1295</v>
      </c>
      <c r="I368" s="17" t="s">
        <v>29</v>
      </c>
      <c r="J368" s="17">
        <v>5</v>
      </c>
      <c r="K368" s="32" t="s">
        <v>1688</v>
      </c>
      <c r="L368" s="17" t="s">
        <v>31</v>
      </c>
      <c r="M368" s="32" t="s">
        <v>1761</v>
      </c>
      <c r="N368" s="7" t="s">
        <v>1762</v>
      </c>
      <c r="O368" s="24" t="s">
        <v>1763</v>
      </c>
      <c r="P368" s="24" t="s">
        <v>1764</v>
      </c>
      <c r="R368" s="14" t="s">
        <v>43</v>
      </c>
      <c r="S368" s="14" t="s">
        <v>33</v>
      </c>
      <c r="T368" s="14" t="s">
        <v>1765</v>
      </c>
      <c r="V368" s="14" t="s">
        <v>1079</v>
      </c>
    </row>
    <row r="369" spans="1:22" ht="23.25" hidden="1">
      <c r="A369" s="37">
        <v>370</v>
      </c>
      <c r="B369" s="17" t="s">
        <v>1640</v>
      </c>
      <c r="C369" s="147">
        <v>46184</v>
      </c>
      <c r="D369" s="14" t="s">
        <v>24</v>
      </c>
      <c r="E369" s="14" t="s">
        <v>428</v>
      </c>
      <c r="F369" s="14" t="s">
        <v>26</v>
      </c>
      <c r="G369" s="14" t="s">
        <v>1090</v>
      </c>
      <c r="H369" s="14" t="s">
        <v>430</v>
      </c>
      <c r="I369" s="17" t="s">
        <v>62</v>
      </c>
      <c r="J369" s="17">
        <v>5</v>
      </c>
      <c r="K369" s="32" t="s">
        <v>1618</v>
      </c>
      <c r="L369" s="17" t="s">
        <v>31</v>
      </c>
      <c r="M369" s="32" t="s">
        <v>1766</v>
      </c>
      <c r="N369" s="7" t="s">
        <v>1767</v>
      </c>
      <c r="O369" s="24" t="s">
        <v>1768</v>
      </c>
      <c r="P369" s="24" t="s">
        <v>1769</v>
      </c>
      <c r="R369" s="14" t="s">
        <v>43</v>
      </c>
      <c r="S369" s="14" t="s">
        <v>33</v>
      </c>
      <c r="T369" s="14" t="s">
        <v>1770</v>
      </c>
      <c r="V369" s="14" t="s">
        <v>1026</v>
      </c>
    </row>
    <row r="370" spans="1:22" ht="34.5" hidden="1">
      <c r="A370" s="37">
        <v>371</v>
      </c>
      <c r="B370" s="17" t="s">
        <v>1640</v>
      </c>
      <c r="C370" s="147">
        <v>46184</v>
      </c>
      <c r="D370" s="14" t="s">
        <v>24</v>
      </c>
      <c r="E370" s="14" t="s">
        <v>1305</v>
      </c>
      <c r="F370" s="14" t="s">
        <v>26</v>
      </c>
      <c r="G370" s="14" t="s">
        <v>1306</v>
      </c>
      <c r="H370" s="14" t="s">
        <v>1771</v>
      </c>
      <c r="I370" s="17" t="s">
        <v>29</v>
      </c>
      <c r="J370" s="17">
        <v>5</v>
      </c>
      <c r="K370" s="32" t="s">
        <v>1772</v>
      </c>
      <c r="L370" s="17" t="s">
        <v>31</v>
      </c>
      <c r="M370" s="166" t="s">
        <v>1773</v>
      </c>
      <c r="N370" s="7" t="s">
        <v>1774</v>
      </c>
      <c r="O370" s="24" t="s">
        <v>1775</v>
      </c>
      <c r="P370" s="24" t="s">
        <v>1776</v>
      </c>
      <c r="R370" s="14" t="s">
        <v>43</v>
      </c>
      <c r="S370" s="14" t="s">
        <v>33</v>
      </c>
      <c r="T370" s="14" t="s">
        <v>1770</v>
      </c>
      <c r="V370" s="14" t="s">
        <v>1026</v>
      </c>
    </row>
    <row r="371" spans="1:22" ht="23.25" hidden="1">
      <c r="A371" s="37">
        <v>372</v>
      </c>
      <c r="B371" s="17" t="s">
        <v>1640</v>
      </c>
      <c r="C371" s="147">
        <v>46185</v>
      </c>
      <c r="D371" s="150" t="s">
        <v>24</v>
      </c>
      <c r="E371" s="62" t="s">
        <v>1331</v>
      </c>
      <c r="F371" s="14" t="s">
        <v>392</v>
      </c>
      <c r="G371" s="14" t="s">
        <v>1777</v>
      </c>
      <c r="H371" s="14" t="s">
        <v>1332</v>
      </c>
      <c r="I371" s="17" t="s">
        <v>62</v>
      </c>
      <c r="J371" s="17">
        <v>5</v>
      </c>
      <c r="K371" s="32" t="s">
        <v>1618</v>
      </c>
      <c r="L371" s="17" t="s">
        <v>31</v>
      </c>
      <c r="M371" s="166" t="s">
        <v>1778</v>
      </c>
      <c r="N371" s="7" t="s">
        <v>1779</v>
      </c>
      <c r="O371" s="167" t="s">
        <v>1780</v>
      </c>
      <c r="P371" s="24" t="s">
        <v>1781</v>
      </c>
      <c r="V371" s="14" t="s">
        <v>1026</v>
      </c>
    </row>
    <row r="372" spans="1:22">
      <c r="A372" s="37">
        <v>373</v>
      </c>
      <c r="B372" s="17" t="s">
        <v>1640</v>
      </c>
      <c r="C372" s="147">
        <v>46188</v>
      </c>
      <c r="D372" s="14" t="s">
        <v>24</v>
      </c>
      <c r="E372" s="14" t="s">
        <v>96</v>
      </c>
      <c r="F372" s="14" t="s">
        <v>26</v>
      </c>
      <c r="G372" s="14" t="s">
        <v>144</v>
      </c>
      <c r="H372" s="14" t="s">
        <v>140</v>
      </c>
      <c r="I372" s="17" t="s">
        <v>62</v>
      </c>
      <c r="J372" s="17">
        <v>1</v>
      </c>
      <c r="K372" s="14" t="s">
        <v>38</v>
      </c>
      <c r="L372" s="17" t="s">
        <v>31</v>
      </c>
      <c r="M372" s="14" t="s">
        <v>1782</v>
      </c>
      <c r="N372" s="7" t="s">
        <v>1783</v>
      </c>
      <c r="O372" s="24" t="s">
        <v>1784</v>
      </c>
      <c r="P372" s="24" t="s">
        <v>1785</v>
      </c>
      <c r="R372" s="14" t="s">
        <v>43</v>
      </c>
      <c r="S372" s="14" t="s">
        <v>43</v>
      </c>
      <c r="T372" s="14" t="s">
        <v>1786</v>
      </c>
      <c r="V372" s="14" t="s">
        <v>1026</v>
      </c>
    </row>
    <row r="373" spans="1:22" ht="69.75" hidden="1">
      <c r="A373" s="37">
        <v>374</v>
      </c>
      <c r="B373" s="17" t="s">
        <v>1640</v>
      </c>
      <c r="C373" s="147">
        <v>46190</v>
      </c>
      <c r="D373" s="14" t="s">
        <v>24</v>
      </c>
      <c r="E373" s="14" t="s">
        <v>211</v>
      </c>
      <c r="F373" s="14" t="s">
        <v>392</v>
      </c>
      <c r="G373" s="14" t="s">
        <v>212</v>
      </c>
      <c r="H373" s="14" t="s">
        <v>213</v>
      </c>
      <c r="I373" s="17" t="s">
        <v>62</v>
      </c>
      <c r="J373" s="17">
        <v>3</v>
      </c>
      <c r="K373" s="169" t="s">
        <v>1787</v>
      </c>
      <c r="L373" s="17" t="s">
        <v>31</v>
      </c>
      <c r="M373" s="32" t="s">
        <v>1788</v>
      </c>
      <c r="N373" s="7" t="s">
        <v>1789</v>
      </c>
      <c r="O373" s="24" t="s">
        <v>1790</v>
      </c>
      <c r="P373" s="24" t="s">
        <v>1791</v>
      </c>
      <c r="R373" s="14" t="s">
        <v>43</v>
      </c>
      <c r="S373" s="14" t="s">
        <v>43</v>
      </c>
      <c r="T373" s="14" t="s">
        <v>1792</v>
      </c>
      <c r="V373" s="14" t="s">
        <v>1026</v>
      </c>
    </row>
    <row r="374" spans="1:22" hidden="1">
      <c r="A374" s="37">
        <v>375</v>
      </c>
      <c r="B374" s="17" t="s">
        <v>1640</v>
      </c>
      <c r="C374" s="147">
        <v>46191</v>
      </c>
      <c r="D374" s="14" t="s">
        <v>24</v>
      </c>
      <c r="E374" s="14" t="s">
        <v>675</v>
      </c>
      <c r="F374" s="14" t="s">
        <v>392</v>
      </c>
      <c r="G374" s="14" t="s">
        <v>914</v>
      </c>
      <c r="H374" s="14" t="s">
        <v>741</v>
      </c>
      <c r="I374" s="17" t="s">
        <v>62</v>
      </c>
      <c r="J374" s="17">
        <v>3</v>
      </c>
      <c r="K374" s="168" t="s">
        <v>38</v>
      </c>
      <c r="L374" s="17" t="s">
        <v>31</v>
      </c>
      <c r="M374" s="14" t="s">
        <v>1793</v>
      </c>
      <c r="N374" s="7" t="s">
        <v>1794</v>
      </c>
      <c r="O374" s="24" t="s">
        <v>1795</v>
      </c>
      <c r="P374" s="24" t="s">
        <v>1796</v>
      </c>
      <c r="R374" s="14" t="s">
        <v>43</v>
      </c>
      <c r="S374" s="14" t="s">
        <v>43</v>
      </c>
      <c r="T374" s="14" t="s">
        <v>1797</v>
      </c>
      <c r="V374" s="14" t="s">
        <v>1798</v>
      </c>
    </row>
    <row r="375" spans="1:22" hidden="1">
      <c r="A375" s="37">
        <v>376</v>
      </c>
      <c r="B375" s="17" t="s">
        <v>1640</v>
      </c>
      <c r="C375" s="147">
        <v>46191</v>
      </c>
      <c r="D375" s="14" t="s">
        <v>24</v>
      </c>
      <c r="E375" s="14" t="s">
        <v>53</v>
      </c>
      <c r="F375" s="14" t="s">
        <v>26</v>
      </c>
      <c r="G375" s="14" t="s">
        <v>54</v>
      </c>
      <c r="H375" s="14" t="s">
        <v>55</v>
      </c>
      <c r="I375" s="17" t="s">
        <v>62</v>
      </c>
      <c r="J375" s="17" t="s">
        <v>31</v>
      </c>
      <c r="K375" s="14" t="s">
        <v>63</v>
      </c>
      <c r="L375" s="17" t="s">
        <v>31</v>
      </c>
      <c r="M375" s="14" t="s">
        <v>1799</v>
      </c>
      <c r="N375" s="7" t="s">
        <v>1800</v>
      </c>
      <c r="O375" s="24" t="s">
        <v>1801</v>
      </c>
      <c r="P375" s="24" t="s">
        <v>1802</v>
      </c>
      <c r="R375" s="14" t="s">
        <v>43</v>
      </c>
      <c r="S375" s="14" t="s">
        <v>43</v>
      </c>
      <c r="T375" s="14" t="s">
        <v>1803</v>
      </c>
      <c r="V375" s="14" t="s">
        <v>1798</v>
      </c>
    </row>
    <row r="376" spans="1:22" ht="81" hidden="1">
      <c r="A376" s="37">
        <v>377</v>
      </c>
      <c r="B376" s="17" t="s">
        <v>1640</v>
      </c>
      <c r="C376" s="147">
        <v>46191</v>
      </c>
      <c r="D376" s="32" t="s">
        <v>24</v>
      </c>
      <c r="E376" s="14" t="s">
        <v>138</v>
      </c>
      <c r="F376" s="14" t="s">
        <v>26</v>
      </c>
      <c r="G376" s="14" t="s">
        <v>118</v>
      </c>
      <c r="H376" s="14" t="s">
        <v>295</v>
      </c>
      <c r="I376" s="17" t="s">
        <v>62</v>
      </c>
      <c r="J376" s="17">
        <v>1</v>
      </c>
      <c r="K376" s="14" t="s">
        <v>38</v>
      </c>
      <c r="L376" s="17" t="s">
        <v>31</v>
      </c>
      <c r="M376" s="14" t="s">
        <v>33</v>
      </c>
      <c r="N376" s="7" t="s">
        <v>1804</v>
      </c>
      <c r="O376" s="24" t="s">
        <v>1805</v>
      </c>
      <c r="P376" s="24" t="s">
        <v>1806</v>
      </c>
      <c r="R376" s="14" t="s">
        <v>43</v>
      </c>
      <c r="S376" s="14" t="s">
        <v>43</v>
      </c>
      <c r="T376" s="32" t="s">
        <v>1807</v>
      </c>
      <c r="U376" s="14" t="s">
        <v>43</v>
      </c>
      <c r="V376" s="14" t="s">
        <v>1798</v>
      </c>
    </row>
    <row r="377" spans="1:22" ht="81">
      <c r="A377" s="37">
        <v>378</v>
      </c>
      <c r="B377" s="17" t="s">
        <v>1640</v>
      </c>
      <c r="C377" s="147">
        <v>46194</v>
      </c>
      <c r="D377" s="14" t="s">
        <v>24</v>
      </c>
      <c r="E377" s="14" t="s">
        <v>96</v>
      </c>
      <c r="F377" s="14" t="s">
        <v>26</v>
      </c>
      <c r="G377" s="14" t="s">
        <v>97</v>
      </c>
      <c r="H377" s="14" t="s">
        <v>596</v>
      </c>
      <c r="I377" s="17" t="s">
        <v>62</v>
      </c>
      <c r="J377" s="17">
        <v>1</v>
      </c>
      <c r="K377" s="32" t="s">
        <v>1808</v>
      </c>
      <c r="L377" s="17" t="s">
        <v>31</v>
      </c>
      <c r="M377" s="32" t="s">
        <v>1809</v>
      </c>
      <c r="N377" s="7" t="s">
        <v>1810</v>
      </c>
      <c r="O377" s="24" t="s">
        <v>1811</v>
      </c>
      <c r="P377" s="24" t="s">
        <v>1812</v>
      </c>
      <c r="R377" s="14" t="s">
        <v>43</v>
      </c>
      <c r="S377" s="14" t="s">
        <v>43</v>
      </c>
      <c r="T377" s="32" t="s">
        <v>1813</v>
      </c>
    </row>
    <row r="378" spans="1:22" ht="69.75" hidden="1">
      <c r="A378" s="37">
        <v>379</v>
      </c>
      <c r="B378" s="17" t="s">
        <v>1640</v>
      </c>
      <c r="C378" s="147">
        <v>46195</v>
      </c>
      <c r="D378" s="14" t="s">
        <v>24</v>
      </c>
      <c r="E378" s="14" t="s">
        <v>25</v>
      </c>
      <c r="F378" s="14" t="s">
        <v>26</v>
      </c>
      <c r="G378" s="14" t="s">
        <v>217</v>
      </c>
      <c r="H378" s="14" t="s">
        <v>1512</v>
      </c>
      <c r="I378" s="17" t="s">
        <v>62</v>
      </c>
      <c r="J378" s="17">
        <v>1</v>
      </c>
      <c r="K378" s="32" t="s">
        <v>1787</v>
      </c>
      <c r="L378" s="17" t="s">
        <v>31</v>
      </c>
      <c r="M378" s="32" t="s">
        <v>1814</v>
      </c>
      <c r="N378" s="7" t="s">
        <v>1815</v>
      </c>
      <c r="O378" s="24" t="s">
        <v>1816</v>
      </c>
      <c r="P378" s="24" t="s">
        <v>1817</v>
      </c>
      <c r="R378" s="14" t="s">
        <v>43</v>
      </c>
      <c r="S378" s="14" t="s">
        <v>33</v>
      </c>
      <c r="T378" s="14" t="s">
        <v>1770</v>
      </c>
      <c r="V378" s="14" t="s">
        <v>1798</v>
      </c>
    </row>
    <row r="379" spans="1:22" ht="139.5" hidden="1">
      <c r="A379" s="37">
        <v>380</v>
      </c>
      <c r="B379" s="17" t="s">
        <v>1640</v>
      </c>
      <c r="C379" s="147">
        <v>46196</v>
      </c>
      <c r="D379" s="14" t="s">
        <v>24</v>
      </c>
      <c r="E379" s="14" t="s">
        <v>138</v>
      </c>
      <c r="F379" s="14" t="s">
        <v>26</v>
      </c>
      <c r="G379" s="14" t="s">
        <v>139</v>
      </c>
      <c r="H379" s="14" t="s">
        <v>140</v>
      </c>
      <c r="I379" s="17" t="s">
        <v>62</v>
      </c>
      <c r="J379" s="17">
        <v>1</v>
      </c>
      <c r="K379" s="32" t="s">
        <v>1818</v>
      </c>
      <c r="M379" s="32" t="s">
        <v>1819</v>
      </c>
      <c r="N379" s="7" t="s">
        <v>1629</v>
      </c>
      <c r="O379" s="24" t="s">
        <v>1630</v>
      </c>
      <c r="P379" s="24" t="s">
        <v>1631</v>
      </c>
      <c r="R379" s="14" t="s">
        <v>43</v>
      </c>
      <c r="S379" s="14" t="s">
        <v>43</v>
      </c>
      <c r="T379" s="32" t="s">
        <v>1820</v>
      </c>
      <c r="V379" s="14" t="s">
        <v>1798</v>
      </c>
    </row>
    <row r="380" spans="1:22" ht="23.25" hidden="1">
      <c r="A380" s="170">
        <v>381</v>
      </c>
      <c r="B380" s="171" t="s">
        <v>1640</v>
      </c>
      <c r="C380" s="172">
        <v>46197</v>
      </c>
      <c r="D380" s="32" t="s">
        <v>24</v>
      </c>
      <c r="E380" s="32" t="s">
        <v>74</v>
      </c>
      <c r="F380" s="32" t="s">
        <v>26</v>
      </c>
      <c r="G380" s="32" t="s">
        <v>769</v>
      </c>
      <c r="H380" s="32" t="s">
        <v>344</v>
      </c>
      <c r="I380" s="171" t="s">
        <v>62</v>
      </c>
      <c r="J380" s="171">
        <v>6</v>
      </c>
      <c r="K380" s="32" t="s">
        <v>38</v>
      </c>
      <c r="L380" s="14"/>
      <c r="M380" s="14" t="s">
        <v>1821</v>
      </c>
      <c r="N380" s="174" t="s">
        <v>1822</v>
      </c>
      <c r="O380" s="173" t="s">
        <v>1823</v>
      </c>
      <c r="P380" s="173" t="s">
        <v>1824</v>
      </c>
      <c r="R380" s="14" t="s">
        <v>1145</v>
      </c>
      <c r="S380" s="14" t="s">
        <v>1421</v>
      </c>
      <c r="T380" s="14" t="s">
        <v>1770</v>
      </c>
      <c r="V380" s="14" t="s">
        <v>1798</v>
      </c>
    </row>
    <row r="381" spans="1:22" ht="34.5" hidden="1">
      <c r="A381" s="170">
        <v>382</v>
      </c>
      <c r="B381" s="171" t="s">
        <v>1640</v>
      </c>
      <c r="C381" s="172">
        <v>46197</v>
      </c>
      <c r="D381" s="32" t="s">
        <v>24</v>
      </c>
      <c r="E381" s="32" t="s">
        <v>138</v>
      </c>
      <c r="F381" s="32" t="s">
        <v>26</v>
      </c>
      <c r="G381" s="32" t="s">
        <v>118</v>
      </c>
      <c r="H381" s="32" t="s">
        <v>304</v>
      </c>
      <c r="I381" s="171" t="s">
        <v>62</v>
      </c>
      <c r="J381" s="171">
        <v>6</v>
      </c>
      <c r="K381" s="32" t="s">
        <v>1073</v>
      </c>
      <c r="M381" s="14" t="s">
        <v>1825</v>
      </c>
      <c r="N381" s="174" t="s">
        <v>1826</v>
      </c>
      <c r="O381" s="173" t="s">
        <v>1827</v>
      </c>
      <c r="P381" s="173" t="s">
        <v>1828</v>
      </c>
      <c r="R381" s="14" t="s">
        <v>1145</v>
      </c>
      <c r="S381" s="14" t="s">
        <v>163</v>
      </c>
      <c r="T381" s="32" t="s">
        <v>1829</v>
      </c>
      <c r="V381" s="14" t="s">
        <v>1798</v>
      </c>
    </row>
    <row r="382" spans="1:22" ht="151.5">
      <c r="A382" s="37">
        <v>383</v>
      </c>
      <c r="B382" s="17" t="s">
        <v>1640</v>
      </c>
      <c r="C382" s="147">
        <v>46201</v>
      </c>
      <c r="D382" s="14" t="s">
        <v>24</v>
      </c>
      <c r="E382" s="14" t="s">
        <v>96</v>
      </c>
      <c r="F382" s="14" t="s">
        <v>392</v>
      </c>
      <c r="G382" s="14" t="s">
        <v>97</v>
      </c>
      <c r="H382" s="14" t="s">
        <v>1830</v>
      </c>
      <c r="I382" s="17" t="s">
        <v>62</v>
      </c>
      <c r="J382" s="17">
        <v>1</v>
      </c>
      <c r="K382" s="32" t="s">
        <v>1818</v>
      </c>
      <c r="M382" s="32" t="s">
        <v>1831</v>
      </c>
      <c r="N382" s="174" t="s">
        <v>1832</v>
      </c>
      <c r="O382" s="173" t="s">
        <v>1833</v>
      </c>
      <c r="P382" s="173" t="s">
        <v>1834</v>
      </c>
      <c r="R382" s="14" t="s">
        <v>163</v>
      </c>
      <c r="S382" s="14" t="s">
        <v>163</v>
      </c>
      <c r="T382" s="32" t="s">
        <v>1835</v>
      </c>
      <c r="U382" s="171" t="s">
        <v>1836</v>
      </c>
      <c r="V382" s="14" t="s">
        <v>1026</v>
      </c>
    </row>
    <row r="383" spans="1:22" ht="57.75" hidden="1">
      <c r="A383" s="37">
        <v>384</v>
      </c>
      <c r="B383" s="17" t="s">
        <v>1640</v>
      </c>
      <c r="C383" s="147">
        <v>46201</v>
      </c>
      <c r="D383" s="14" t="s">
        <v>24</v>
      </c>
      <c r="E383" s="14" t="s">
        <v>1837</v>
      </c>
      <c r="F383" s="14" t="s">
        <v>392</v>
      </c>
      <c r="G383" s="14" t="s">
        <v>212</v>
      </c>
      <c r="H383" s="14" t="s">
        <v>213</v>
      </c>
      <c r="I383" s="17" t="s">
        <v>62</v>
      </c>
      <c r="J383" s="17">
        <v>1</v>
      </c>
      <c r="K383" s="32" t="s">
        <v>1838</v>
      </c>
      <c r="M383" s="32" t="s">
        <v>1839</v>
      </c>
      <c r="N383" s="174" t="s">
        <v>1840</v>
      </c>
      <c r="O383" s="173" t="s">
        <v>1841</v>
      </c>
      <c r="P383" s="173" t="s">
        <v>1842</v>
      </c>
      <c r="R383" s="14" t="s">
        <v>163</v>
      </c>
      <c r="S383" s="14" t="s">
        <v>163</v>
      </c>
      <c r="T383" s="14" t="s">
        <v>1792</v>
      </c>
    </row>
    <row r="384" spans="1:22" hidden="1">
      <c r="A384" s="37">
        <v>385</v>
      </c>
      <c r="B384" s="17" t="s">
        <v>1640</v>
      </c>
      <c r="C384" s="147">
        <v>46202</v>
      </c>
      <c r="D384" s="14" t="s">
        <v>24</v>
      </c>
      <c r="E384" s="14" t="s">
        <v>1276</v>
      </c>
      <c r="F384" s="14" t="s">
        <v>26</v>
      </c>
      <c r="G384" s="14" t="s">
        <v>329</v>
      </c>
      <c r="H384" s="32" t="s">
        <v>1843</v>
      </c>
      <c r="I384" s="17" t="s">
        <v>29</v>
      </c>
      <c r="J384" s="17">
        <v>3</v>
      </c>
      <c r="K384" s="14" t="s">
        <v>555</v>
      </c>
      <c r="M384" s="14" t="s">
        <v>1844</v>
      </c>
      <c r="N384" s="7" t="s">
        <v>1845</v>
      </c>
      <c r="O384" s="24" t="s">
        <v>1846</v>
      </c>
      <c r="P384" s="24" t="s">
        <v>1847</v>
      </c>
      <c r="R384" s="14" t="s">
        <v>163</v>
      </c>
      <c r="S384" s="14" t="s">
        <v>31</v>
      </c>
      <c r="T384" s="14" t="s">
        <v>1770</v>
      </c>
    </row>
    <row r="385" spans="1:12" hidden="1">
      <c r="A385" s="37">
        <v>386</v>
      </c>
      <c r="B385" s="17" t="s">
        <v>1640</v>
      </c>
      <c r="D385" s="14" t="s">
        <v>24</v>
      </c>
      <c r="L385" s="14"/>
    </row>
    <row r="386" spans="1:12" hidden="1">
      <c r="A386" s="170">
        <v>387</v>
      </c>
      <c r="B386" s="171" t="s">
        <v>1640</v>
      </c>
      <c r="C386" s="171"/>
      <c r="D386" s="150" t="s">
        <v>24</v>
      </c>
    </row>
    <row r="387" spans="1:12" hidden="1">
      <c r="A387" s="37">
        <v>388</v>
      </c>
      <c r="B387" s="17" t="s">
        <v>1640</v>
      </c>
      <c r="D387" s="14" t="s">
        <v>24</v>
      </c>
    </row>
    <row r="388" spans="1:12" hidden="1">
      <c r="A388" s="37">
        <v>389</v>
      </c>
      <c r="B388" s="17" t="s">
        <v>1640</v>
      </c>
      <c r="D388" s="14" t="s">
        <v>24</v>
      </c>
    </row>
    <row r="389" spans="1:12" hidden="1">
      <c r="A389" s="37">
        <v>390</v>
      </c>
      <c r="B389" s="17" t="s">
        <v>1640</v>
      </c>
      <c r="D389" s="14" t="s">
        <v>24</v>
      </c>
    </row>
    <row r="390" spans="1:12" hidden="1">
      <c r="A390" s="37">
        <v>391</v>
      </c>
      <c r="B390" s="17" t="s">
        <v>1640</v>
      </c>
      <c r="D390" s="14" t="s">
        <v>24</v>
      </c>
    </row>
    <row r="391" spans="1:12" hidden="1">
      <c r="A391" s="37">
        <v>392</v>
      </c>
      <c r="B391" s="17" t="s">
        <v>1640</v>
      </c>
      <c r="D391" s="55" t="s">
        <v>24</v>
      </c>
    </row>
    <row r="392" spans="1:12" hidden="1">
      <c r="A392" s="37">
        <v>393</v>
      </c>
      <c r="B392" s="17" t="s">
        <v>1640</v>
      </c>
      <c r="D392" s="14" t="s">
        <v>24</v>
      </c>
    </row>
    <row r="393" spans="1:12" hidden="1">
      <c r="A393" s="37">
        <v>394</v>
      </c>
      <c r="B393" s="17" t="s">
        <v>1640</v>
      </c>
      <c r="D393" s="14" t="s">
        <v>24</v>
      </c>
    </row>
    <row r="394" spans="1:12" hidden="1">
      <c r="A394" s="37">
        <v>395</v>
      </c>
      <c r="B394" s="17" t="s">
        <v>1640</v>
      </c>
      <c r="D394" s="14" t="s">
        <v>24</v>
      </c>
    </row>
    <row r="395" spans="1:12" hidden="1">
      <c r="A395" s="37">
        <v>396</v>
      </c>
      <c r="B395" s="17" t="s">
        <v>1640</v>
      </c>
      <c r="D395" s="14" t="s">
        <v>24</v>
      </c>
    </row>
    <row r="396" spans="1:12" hidden="1">
      <c r="A396" s="37">
        <v>397</v>
      </c>
      <c r="B396" s="17" t="s">
        <v>1640</v>
      </c>
      <c r="D396" s="55" t="s">
        <v>24</v>
      </c>
    </row>
    <row r="397" spans="1:12" hidden="1">
      <c r="A397" s="37">
        <v>398</v>
      </c>
      <c r="D397" s="14" t="s">
        <v>24</v>
      </c>
    </row>
    <row r="398" spans="1:12" hidden="1">
      <c r="A398" s="170">
        <v>399</v>
      </c>
      <c r="B398" s="32"/>
      <c r="C398" s="171"/>
      <c r="D398" s="32" t="s">
        <v>24</v>
      </c>
      <c r="E398" s="32"/>
      <c r="F398" s="32"/>
      <c r="G398" s="32"/>
      <c r="H398" s="32"/>
      <c r="I398" s="171"/>
      <c r="J398" s="171"/>
      <c r="K398" s="32"/>
      <c r="L398" s="171"/>
    </row>
    <row r="399" spans="1:12" hidden="1">
      <c r="A399" s="170">
        <v>400</v>
      </c>
      <c r="B399" s="32"/>
      <c r="C399" s="171"/>
      <c r="D399" s="32" t="s">
        <v>24</v>
      </c>
      <c r="E399" s="32"/>
      <c r="F399" s="32"/>
      <c r="G399" s="32"/>
      <c r="H399" s="32"/>
      <c r="I399" s="171"/>
      <c r="J399" s="171"/>
      <c r="K399" s="32"/>
      <c r="L399" s="171"/>
    </row>
    <row r="400" spans="1:12" hidden="1">
      <c r="A400" s="170">
        <v>401</v>
      </c>
      <c r="B400" s="32"/>
      <c r="C400" s="171"/>
      <c r="D400" s="32" t="s">
        <v>24</v>
      </c>
      <c r="E400" s="32"/>
      <c r="F400" s="32"/>
      <c r="G400" s="32"/>
      <c r="H400" s="32"/>
      <c r="I400" s="171"/>
      <c r="J400" s="171"/>
      <c r="K400" s="32"/>
      <c r="L400" s="171"/>
    </row>
    <row r="401" spans="1:12" hidden="1">
      <c r="A401" s="170">
        <v>402</v>
      </c>
      <c r="B401" s="32"/>
      <c r="C401" s="171"/>
      <c r="D401" s="150" t="s">
        <v>24</v>
      </c>
      <c r="E401" s="32"/>
      <c r="F401" s="32"/>
      <c r="G401" s="32"/>
      <c r="H401" s="32"/>
      <c r="I401" s="171"/>
      <c r="J401" s="171"/>
      <c r="K401" s="32"/>
      <c r="L401" s="171"/>
    </row>
    <row r="402" spans="1:12" hidden="1">
      <c r="A402" s="170">
        <v>403</v>
      </c>
      <c r="B402" s="32"/>
      <c r="C402" s="171"/>
      <c r="D402" s="32" t="s">
        <v>24</v>
      </c>
      <c r="E402" s="32"/>
      <c r="F402" s="32"/>
      <c r="G402" s="32"/>
      <c r="H402" s="32"/>
      <c r="I402" s="171"/>
      <c r="J402" s="171"/>
      <c r="K402" s="32"/>
      <c r="L402" s="171"/>
    </row>
    <row r="403" spans="1:12" hidden="1">
      <c r="A403" s="170">
        <v>404</v>
      </c>
      <c r="B403" s="32"/>
      <c r="C403" s="171"/>
      <c r="D403" s="32" t="s">
        <v>24</v>
      </c>
      <c r="E403" s="32"/>
      <c r="F403" s="32"/>
      <c r="G403" s="32"/>
      <c r="H403" s="32"/>
      <c r="I403" s="171"/>
      <c r="J403" s="171"/>
      <c r="K403" s="32"/>
      <c r="L403" s="171"/>
    </row>
    <row r="404" spans="1:12" hidden="1">
      <c r="A404" s="170">
        <v>405</v>
      </c>
      <c r="B404" s="32"/>
      <c r="C404" s="171"/>
      <c r="D404" s="32" t="s">
        <v>24</v>
      </c>
      <c r="E404" s="32"/>
      <c r="F404" s="32"/>
      <c r="G404" s="32"/>
      <c r="H404" s="32"/>
      <c r="I404" s="171"/>
      <c r="J404" s="171"/>
      <c r="K404" s="32"/>
      <c r="L404" s="171"/>
    </row>
    <row r="405" spans="1:12" hidden="1">
      <c r="A405" s="170">
        <v>406</v>
      </c>
      <c r="B405" s="32"/>
      <c r="C405" s="171"/>
      <c r="D405" s="32" t="s">
        <v>24</v>
      </c>
      <c r="E405" s="32"/>
      <c r="F405" s="32"/>
      <c r="G405" s="32"/>
      <c r="H405" s="32"/>
      <c r="I405" s="171"/>
      <c r="J405" s="171"/>
      <c r="K405" s="32"/>
      <c r="L405" s="171"/>
    </row>
    <row r="406" spans="1:12" hidden="1">
      <c r="A406" s="170">
        <v>407</v>
      </c>
      <c r="B406" s="32"/>
      <c r="C406" s="171"/>
      <c r="D406" s="150" t="s">
        <v>24</v>
      </c>
      <c r="E406" s="32"/>
      <c r="F406" s="32"/>
      <c r="G406" s="32"/>
      <c r="H406" s="32"/>
      <c r="I406" s="171"/>
      <c r="J406" s="171"/>
      <c r="K406" s="32"/>
      <c r="L406" s="171"/>
    </row>
    <row r="407" spans="1:12" hidden="1">
      <c r="A407" s="170">
        <v>408</v>
      </c>
      <c r="B407" s="32"/>
      <c r="C407" s="171"/>
      <c r="D407" s="32" t="s">
        <v>24</v>
      </c>
      <c r="E407" s="32"/>
      <c r="F407" s="32"/>
      <c r="G407" s="32"/>
      <c r="H407" s="32"/>
      <c r="I407" s="171"/>
      <c r="J407" s="171"/>
      <c r="K407" s="32"/>
      <c r="L407" s="171"/>
    </row>
    <row r="408" spans="1:12" hidden="1">
      <c r="A408" s="170">
        <v>409</v>
      </c>
      <c r="B408" s="32"/>
      <c r="C408" s="171"/>
      <c r="D408" s="32" t="s">
        <v>24</v>
      </c>
      <c r="E408" s="32"/>
      <c r="F408" s="32"/>
      <c r="G408" s="32"/>
      <c r="H408" s="32"/>
      <c r="I408" s="171"/>
      <c r="J408" s="171"/>
      <c r="K408" s="32"/>
      <c r="L408" s="171"/>
    </row>
    <row r="409" spans="1:12" hidden="1">
      <c r="A409" s="170">
        <v>410</v>
      </c>
      <c r="B409" s="32"/>
      <c r="C409" s="171"/>
      <c r="D409" s="32" t="s">
        <v>24</v>
      </c>
      <c r="E409" s="32"/>
      <c r="F409" s="32"/>
      <c r="G409" s="32"/>
      <c r="H409" s="32"/>
      <c r="I409" s="171"/>
      <c r="J409" s="171"/>
      <c r="K409" s="32"/>
      <c r="L409" s="171"/>
    </row>
    <row r="410" spans="1:12" hidden="1">
      <c r="A410" s="170">
        <v>411</v>
      </c>
      <c r="B410" s="32"/>
      <c r="C410" s="171"/>
      <c r="D410" s="32" t="s">
        <v>24</v>
      </c>
      <c r="E410" s="32"/>
      <c r="F410" s="32"/>
      <c r="G410" s="32"/>
      <c r="H410" s="32"/>
      <c r="I410" s="171"/>
      <c r="J410" s="171"/>
      <c r="K410" s="32"/>
      <c r="L410" s="171"/>
    </row>
    <row r="411" spans="1:12" hidden="1">
      <c r="A411" s="170">
        <v>412</v>
      </c>
      <c r="B411" s="32"/>
      <c r="C411" s="171"/>
      <c r="D411" s="150" t="s">
        <v>24</v>
      </c>
      <c r="E411" s="32"/>
      <c r="F411" s="32"/>
      <c r="G411" s="32"/>
      <c r="H411" s="32"/>
      <c r="I411" s="171"/>
      <c r="J411" s="171"/>
      <c r="K411" s="32"/>
      <c r="L411" s="171"/>
    </row>
    <row r="412" spans="1:12" hidden="1">
      <c r="A412" s="170">
        <v>413</v>
      </c>
      <c r="B412" s="32"/>
      <c r="C412" s="171"/>
      <c r="D412" s="32" t="s">
        <v>24</v>
      </c>
      <c r="E412" s="32"/>
      <c r="F412" s="32"/>
      <c r="G412" s="32"/>
      <c r="H412" s="32"/>
      <c r="I412" s="171"/>
      <c r="J412" s="171"/>
      <c r="K412" s="32"/>
      <c r="L412" s="171"/>
    </row>
    <row r="413" spans="1:12" hidden="1">
      <c r="A413" s="170">
        <v>414</v>
      </c>
      <c r="B413" s="32"/>
      <c r="C413" s="171"/>
      <c r="D413" s="32" t="s">
        <v>24</v>
      </c>
      <c r="E413" s="32"/>
      <c r="F413" s="32"/>
      <c r="G413" s="32"/>
      <c r="H413" s="32"/>
      <c r="I413" s="171"/>
      <c r="J413" s="171"/>
      <c r="K413" s="32"/>
      <c r="L413" s="171"/>
    </row>
    <row r="414" spans="1:12" hidden="1">
      <c r="A414" s="170">
        <v>415</v>
      </c>
      <c r="B414" s="32"/>
      <c r="C414" s="171"/>
      <c r="D414" s="32" t="s">
        <v>24</v>
      </c>
      <c r="E414" s="32"/>
      <c r="F414" s="32"/>
      <c r="G414" s="32"/>
      <c r="H414" s="32"/>
      <c r="I414" s="171"/>
      <c r="J414" s="171"/>
      <c r="K414" s="32"/>
      <c r="L414" s="171"/>
    </row>
    <row r="415" spans="1:12" hidden="1">
      <c r="A415" s="170">
        <v>416</v>
      </c>
      <c r="B415" s="32"/>
      <c r="C415" s="171"/>
      <c r="D415" s="32" t="s">
        <v>24</v>
      </c>
      <c r="E415" s="32"/>
      <c r="F415" s="32"/>
      <c r="G415" s="32"/>
      <c r="H415" s="32"/>
      <c r="I415" s="171"/>
      <c r="J415" s="171"/>
      <c r="K415" s="32"/>
      <c r="L415" s="171"/>
    </row>
    <row r="416" spans="1:12" hidden="1">
      <c r="A416" s="170">
        <v>417</v>
      </c>
      <c r="B416" s="32"/>
      <c r="C416" s="171"/>
      <c r="D416" s="150" t="s">
        <v>24</v>
      </c>
      <c r="E416" s="32"/>
      <c r="F416" s="32"/>
      <c r="G416" s="32"/>
      <c r="H416" s="32"/>
      <c r="I416" s="171"/>
      <c r="J416" s="171"/>
      <c r="K416" s="32"/>
      <c r="L416" s="171"/>
    </row>
    <row r="417" spans="1:12" hidden="1">
      <c r="A417" s="170">
        <v>418</v>
      </c>
      <c r="B417" s="32"/>
      <c r="C417" s="171"/>
      <c r="D417" s="32" t="s">
        <v>24</v>
      </c>
      <c r="E417" s="32"/>
      <c r="F417" s="32"/>
      <c r="G417" s="32"/>
      <c r="H417" s="32"/>
      <c r="I417" s="171"/>
      <c r="J417" s="171"/>
      <c r="K417" s="32"/>
      <c r="L417" s="171"/>
    </row>
    <row r="418" spans="1:12" hidden="1">
      <c r="A418" s="170">
        <v>419</v>
      </c>
      <c r="B418" s="32"/>
      <c r="C418" s="171"/>
      <c r="D418" s="32" t="s">
        <v>24</v>
      </c>
      <c r="E418" s="32"/>
      <c r="F418" s="32"/>
      <c r="G418" s="32"/>
      <c r="H418" s="32"/>
      <c r="I418" s="171"/>
      <c r="J418" s="171"/>
      <c r="K418" s="32"/>
      <c r="L418" s="171"/>
    </row>
    <row r="419" spans="1:12" hidden="1">
      <c r="A419" s="170">
        <v>420</v>
      </c>
      <c r="B419" s="32"/>
      <c r="C419" s="171"/>
      <c r="D419" s="32" t="s">
        <v>24</v>
      </c>
      <c r="E419" s="32"/>
      <c r="F419" s="32"/>
      <c r="G419" s="32"/>
      <c r="H419" s="32"/>
      <c r="I419" s="171"/>
      <c r="J419" s="171"/>
      <c r="K419" s="32"/>
      <c r="L419" s="171"/>
    </row>
    <row r="420" spans="1:12" hidden="1">
      <c r="A420" s="170">
        <v>421</v>
      </c>
      <c r="B420" s="32"/>
      <c r="C420" s="171"/>
      <c r="D420" s="32" t="s">
        <v>24</v>
      </c>
      <c r="E420" s="32"/>
      <c r="F420" s="32"/>
      <c r="G420" s="32"/>
      <c r="H420" s="32"/>
      <c r="I420" s="171"/>
      <c r="J420" s="171"/>
      <c r="K420" s="32"/>
      <c r="L420" s="171"/>
    </row>
    <row r="421" spans="1:12" hidden="1">
      <c r="A421" s="170">
        <v>422</v>
      </c>
      <c r="B421" s="32"/>
      <c r="C421" s="171"/>
      <c r="D421" s="150" t="s">
        <v>24</v>
      </c>
      <c r="E421" s="32"/>
      <c r="F421" s="32"/>
      <c r="G421" s="32"/>
      <c r="H421" s="32"/>
      <c r="I421" s="171"/>
      <c r="J421" s="171"/>
      <c r="K421" s="32"/>
      <c r="L421" s="171"/>
    </row>
    <row r="422" spans="1:12" hidden="1">
      <c r="A422" s="170">
        <v>423</v>
      </c>
      <c r="B422" s="32"/>
      <c r="C422" s="171"/>
      <c r="D422" s="32" t="s">
        <v>24</v>
      </c>
      <c r="E422" s="32"/>
      <c r="F422" s="32"/>
      <c r="G422" s="32"/>
      <c r="H422" s="32"/>
      <c r="I422" s="171"/>
      <c r="J422" s="171"/>
      <c r="K422" s="32"/>
      <c r="L422" s="171"/>
    </row>
    <row r="423" spans="1:12" hidden="1">
      <c r="A423" s="170">
        <v>424</v>
      </c>
      <c r="B423" s="32"/>
      <c r="C423" s="171"/>
      <c r="D423" s="32" t="s">
        <v>24</v>
      </c>
      <c r="E423" s="32"/>
      <c r="F423" s="32"/>
      <c r="G423" s="32"/>
      <c r="H423" s="32"/>
      <c r="I423" s="171"/>
      <c r="J423" s="171"/>
      <c r="K423" s="32"/>
      <c r="L423" s="171"/>
    </row>
    <row r="424" spans="1:12" hidden="1">
      <c r="A424" s="170">
        <v>425</v>
      </c>
      <c r="B424" s="32"/>
      <c r="C424" s="171"/>
      <c r="D424" s="32" t="s">
        <v>24</v>
      </c>
      <c r="E424" s="32"/>
      <c r="F424" s="32"/>
      <c r="G424" s="32"/>
      <c r="H424" s="32"/>
      <c r="I424" s="171"/>
      <c r="J424" s="171"/>
      <c r="K424" s="32"/>
      <c r="L424" s="171"/>
    </row>
    <row r="425" spans="1:12" hidden="1">
      <c r="A425" s="170">
        <v>426</v>
      </c>
      <c r="B425" s="32"/>
      <c r="C425" s="171"/>
      <c r="D425" s="32" t="s">
        <v>24</v>
      </c>
      <c r="E425" s="32"/>
      <c r="F425" s="32"/>
      <c r="G425" s="32"/>
      <c r="H425" s="32"/>
      <c r="I425" s="171"/>
      <c r="J425" s="171"/>
      <c r="K425" s="32"/>
      <c r="L425" s="171"/>
    </row>
    <row r="426" spans="1:12" hidden="1">
      <c r="A426" s="170">
        <v>427</v>
      </c>
      <c r="B426" s="32"/>
      <c r="C426" s="171"/>
      <c r="D426" s="150" t="s">
        <v>24</v>
      </c>
      <c r="E426" s="32"/>
      <c r="F426" s="32"/>
      <c r="G426" s="32"/>
      <c r="H426" s="32"/>
      <c r="I426" s="171"/>
      <c r="J426" s="171"/>
      <c r="K426" s="32"/>
      <c r="L426" s="171"/>
    </row>
    <row r="427" spans="1:12" hidden="1">
      <c r="A427" s="170">
        <v>428</v>
      </c>
      <c r="B427" s="32"/>
      <c r="C427" s="171"/>
      <c r="D427" s="32" t="s">
        <v>24</v>
      </c>
      <c r="E427" s="32"/>
      <c r="F427" s="32"/>
      <c r="G427" s="32"/>
      <c r="H427" s="32"/>
      <c r="I427" s="171"/>
      <c r="J427" s="171"/>
      <c r="K427" s="32"/>
      <c r="L427" s="171"/>
    </row>
    <row r="428" spans="1:12" hidden="1">
      <c r="A428" s="170">
        <v>429</v>
      </c>
      <c r="B428" s="32"/>
      <c r="C428" s="171"/>
      <c r="D428" s="32" t="s">
        <v>24</v>
      </c>
      <c r="E428" s="32"/>
      <c r="F428" s="32"/>
      <c r="G428" s="32"/>
      <c r="H428" s="32"/>
      <c r="I428" s="171"/>
      <c r="J428" s="171"/>
      <c r="K428" s="32"/>
      <c r="L428" s="171"/>
    </row>
    <row r="429" spans="1:12" hidden="1">
      <c r="A429" s="170">
        <v>430</v>
      </c>
      <c r="B429" s="32"/>
      <c r="C429" s="171"/>
      <c r="D429" s="32" t="s">
        <v>24</v>
      </c>
      <c r="E429" s="32"/>
      <c r="F429" s="32"/>
      <c r="G429" s="32"/>
      <c r="H429" s="32"/>
      <c r="I429" s="171"/>
      <c r="J429" s="171"/>
      <c r="K429" s="32"/>
      <c r="L429" s="171"/>
    </row>
    <row r="430" spans="1:12" hidden="1">
      <c r="A430" s="170">
        <v>431</v>
      </c>
      <c r="B430" s="32"/>
      <c r="C430" s="171"/>
      <c r="D430" s="32" t="s">
        <v>24</v>
      </c>
      <c r="E430" s="32"/>
      <c r="F430" s="32"/>
      <c r="G430" s="32"/>
      <c r="H430" s="32"/>
      <c r="I430" s="171"/>
      <c r="J430" s="171"/>
      <c r="K430" s="32"/>
      <c r="L430" s="171"/>
    </row>
    <row r="431" spans="1:12" hidden="1">
      <c r="A431" s="170">
        <v>432</v>
      </c>
      <c r="B431" s="32"/>
      <c r="C431" s="171"/>
      <c r="D431" s="150" t="s">
        <v>24</v>
      </c>
      <c r="E431" s="32"/>
      <c r="F431" s="32"/>
      <c r="G431" s="32"/>
      <c r="H431" s="32"/>
      <c r="I431" s="171"/>
      <c r="J431" s="171"/>
      <c r="K431" s="32"/>
      <c r="L431" s="171"/>
    </row>
    <row r="432" spans="1:12" hidden="1">
      <c r="A432" s="170">
        <v>433</v>
      </c>
      <c r="B432" s="32"/>
      <c r="C432" s="171"/>
      <c r="D432" s="32" t="s">
        <v>24</v>
      </c>
      <c r="E432" s="32"/>
      <c r="F432" s="32"/>
      <c r="G432" s="32"/>
      <c r="H432" s="32"/>
      <c r="I432" s="171"/>
      <c r="J432" s="171"/>
      <c r="K432" s="32"/>
      <c r="L432" s="171"/>
    </row>
    <row r="433" spans="1:12" hidden="1">
      <c r="A433" s="170">
        <v>434</v>
      </c>
      <c r="B433" s="32"/>
      <c r="C433" s="171"/>
      <c r="D433" s="32" t="s">
        <v>24</v>
      </c>
      <c r="E433" s="32"/>
      <c r="F433" s="32"/>
      <c r="G433" s="32"/>
      <c r="H433" s="32"/>
      <c r="I433" s="171"/>
      <c r="J433" s="171"/>
      <c r="K433" s="32"/>
      <c r="L433" s="171"/>
    </row>
    <row r="434" spans="1:12" hidden="1">
      <c r="A434" s="170">
        <v>435</v>
      </c>
      <c r="B434" s="32"/>
      <c r="C434" s="171"/>
      <c r="D434" s="32" t="s">
        <v>24</v>
      </c>
      <c r="E434" s="32"/>
      <c r="F434" s="32"/>
      <c r="G434" s="32"/>
      <c r="H434" s="32"/>
      <c r="I434" s="171"/>
      <c r="J434" s="171"/>
      <c r="K434" s="32"/>
      <c r="L434" s="171"/>
    </row>
    <row r="435" spans="1:12" hidden="1">
      <c r="A435" s="170">
        <v>436</v>
      </c>
      <c r="B435" s="32"/>
      <c r="C435" s="171"/>
      <c r="D435" s="32" t="s">
        <v>24</v>
      </c>
      <c r="E435" s="32"/>
      <c r="F435" s="32"/>
      <c r="G435" s="32"/>
      <c r="H435" s="32"/>
      <c r="I435" s="171"/>
      <c r="J435" s="171"/>
      <c r="K435" s="32"/>
      <c r="L435" s="171"/>
    </row>
    <row r="436" spans="1:12" hidden="1">
      <c r="A436" s="170">
        <v>437</v>
      </c>
      <c r="B436" s="32"/>
      <c r="C436" s="171"/>
      <c r="D436" s="150" t="s">
        <v>24</v>
      </c>
      <c r="E436" s="32"/>
      <c r="F436" s="32"/>
      <c r="G436" s="32"/>
      <c r="H436" s="32"/>
      <c r="I436" s="171"/>
      <c r="J436" s="171"/>
      <c r="K436" s="32"/>
      <c r="L436" s="171"/>
    </row>
    <row r="437" spans="1:12" hidden="1">
      <c r="A437" s="170">
        <v>438</v>
      </c>
      <c r="B437" s="32"/>
      <c r="C437" s="171"/>
      <c r="D437" s="32" t="s">
        <v>24</v>
      </c>
      <c r="E437" s="32"/>
      <c r="F437" s="32"/>
      <c r="G437" s="32"/>
      <c r="H437" s="32"/>
      <c r="I437" s="171"/>
      <c r="J437" s="171"/>
      <c r="K437" s="32"/>
      <c r="L437" s="171"/>
    </row>
    <row r="438" spans="1:12" hidden="1">
      <c r="A438" s="170">
        <v>439</v>
      </c>
      <c r="B438" s="32"/>
      <c r="C438" s="171"/>
      <c r="D438" s="32" t="s">
        <v>24</v>
      </c>
      <c r="E438" s="32"/>
      <c r="F438" s="32"/>
      <c r="G438" s="32"/>
      <c r="H438" s="32"/>
      <c r="I438" s="171"/>
      <c r="J438" s="171"/>
      <c r="K438" s="32"/>
      <c r="L438" s="171"/>
    </row>
    <row r="439" spans="1:12" hidden="1">
      <c r="A439" s="170">
        <v>440</v>
      </c>
      <c r="B439" s="32"/>
      <c r="C439" s="171"/>
      <c r="D439" s="32" t="s">
        <v>24</v>
      </c>
      <c r="E439" s="32"/>
      <c r="F439" s="32"/>
      <c r="G439" s="32"/>
      <c r="H439" s="32"/>
      <c r="I439" s="171"/>
      <c r="J439" s="171"/>
      <c r="K439" s="32"/>
      <c r="L439" s="171"/>
    </row>
    <row r="440" spans="1:12" hidden="1">
      <c r="A440" s="170">
        <v>441</v>
      </c>
      <c r="B440" s="32"/>
      <c r="C440" s="171"/>
      <c r="D440" s="32" t="s">
        <v>24</v>
      </c>
      <c r="E440" s="32"/>
      <c r="F440" s="32"/>
      <c r="G440" s="32"/>
      <c r="H440" s="32"/>
      <c r="I440" s="171"/>
      <c r="J440" s="171"/>
      <c r="K440" s="32"/>
      <c r="L440" s="171"/>
    </row>
    <row r="441" spans="1:12" hidden="1">
      <c r="A441" s="170">
        <v>442</v>
      </c>
      <c r="B441" s="32"/>
      <c r="C441" s="171"/>
      <c r="D441" s="150" t="s">
        <v>24</v>
      </c>
      <c r="E441" s="32"/>
      <c r="F441" s="32"/>
      <c r="G441" s="32"/>
      <c r="H441" s="32"/>
      <c r="I441" s="171"/>
      <c r="J441" s="171"/>
      <c r="K441" s="32"/>
      <c r="L441" s="171"/>
    </row>
    <row r="442" spans="1:12" hidden="1">
      <c r="A442" s="170">
        <v>443</v>
      </c>
      <c r="B442" s="32"/>
      <c r="C442" s="171"/>
      <c r="D442" s="32" t="s">
        <v>24</v>
      </c>
      <c r="E442" s="32"/>
      <c r="F442" s="32"/>
      <c r="G442" s="32"/>
      <c r="H442" s="32"/>
      <c r="I442" s="171"/>
      <c r="J442" s="171"/>
      <c r="K442" s="32"/>
      <c r="L442" s="171"/>
    </row>
    <row r="443" spans="1:12" hidden="1">
      <c r="A443" s="170">
        <v>444</v>
      </c>
      <c r="B443" s="32"/>
      <c r="C443" s="171"/>
      <c r="D443" s="32" t="s">
        <v>24</v>
      </c>
      <c r="E443" s="32"/>
      <c r="F443" s="32"/>
      <c r="G443" s="32"/>
      <c r="H443" s="32"/>
      <c r="I443" s="171"/>
      <c r="J443" s="171"/>
      <c r="K443" s="32"/>
      <c r="L443" s="171"/>
    </row>
    <row r="444" spans="1:12" hidden="1">
      <c r="A444" s="170">
        <v>445</v>
      </c>
      <c r="B444" s="32"/>
      <c r="C444" s="171"/>
      <c r="D444" s="32" t="s">
        <v>24</v>
      </c>
      <c r="E444" s="32"/>
      <c r="F444" s="32"/>
      <c r="G444" s="32"/>
      <c r="H444" s="32"/>
      <c r="I444" s="171"/>
      <c r="J444" s="171"/>
      <c r="K444" s="32"/>
      <c r="L444" s="171"/>
    </row>
    <row r="445" spans="1:12" hidden="1">
      <c r="A445" s="170">
        <v>446</v>
      </c>
      <c r="B445" s="32"/>
      <c r="C445" s="171"/>
      <c r="D445" s="32" t="s">
        <v>24</v>
      </c>
      <c r="E445" s="32"/>
      <c r="F445" s="32"/>
      <c r="G445" s="32"/>
      <c r="H445" s="32"/>
      <c r="I445" s="171"/>
      <c r="J445" s="171"/>
      <c r="K445" s="32"/>
      <c r="L445" s="171"/>
    </row>
    <row r="446" spans="1:12" hidden="1">
      <c r="A446" s="170">
        <v>447</v>
      </c>
      <c r="B446" s="32"/>
      <c r="C446" s="171"/>
      <c r="D446" s="150" t="s">
        <v>24</v>
      </c>
      <c r="E446" s="32"/>
      <c r="F446" s="32"/>
      <c r="G446" s="32"/>
      <c r="H446" s="32"/>
      <c r="I446" s="171"/>
      <c r="J446" s="171"/>
      <c r="K446" s="32"/>
      <c r="L446" s="171"/>
    </row>
    <row r="447" spans="1:12" hidden="1">
      <c r="A447" s="170">
        <v>448</v>
      </c>
      <c r="B447" s="32"/>
      <c r="C447" s="171"/>
      <c r="D447" s="32" t="s">
        <v>24</v>
      </c>
      <c r="E447" s="32"/>
      <c r="F447" s="32"/>
      <c r="G447" s="32"/>
      <c r="H447" s="32"/>
      <c r="I447" s="171"/>
      <c r="J447" s="171"/>
      <c r="K447" s="32"/>
      <c r="L447" s="171"/>
    </row>
    <row r="448" spans="1:12" hidden="1">
      <c r="A448" s="170">
        <v>449</v>
      </c>
      <c r="B448" s="32"/>
      <c r="C448" s="171"/>
      <c r="D448" s="32" t="s">
        <v>24</v>
      </c>
      <c r="E448" s="32"/>
      <c r="F448" s="32"/>
      <c r="G448" s="32"/>
      <c r="H448" s="32"/>
      <c r="I448" s="171"/>
      <c r="J448" s="171"/>
      <c r="K448" s="32"/>
      <c r="L448" s="171"/>
    </row>
    <row r="449" spans="1:12" hidden="1">
      <c r="A449" s="170">
        <v>450</v>
      </c>
      <c r="B449" s="32"/>
      <c r="C449" s="171"/>
      <c r="D449" s="32" t="s">
        <v>24</v>
      </c>
      <c r="E449" s="32"/>
      <c r="F449" s="32"/>
      <c r="G449" s="32"/>
      <c r="H449" s="32"/>
      <c r="I449" s="171"/>
      <c r="J449" s="171"/>
      <c r="K449" s="32"/>
      <c r="L449" s="171"/>
    </row>
    <row r="450" spans="1:12" hidden="1">
      <c r="A450" s="170">
        <v>451</v>
      </c>
      <c r="B450" s="32"/>
      <c r="C450" s="171"/>
      <c r="D450" s="32" t="s">
        <v>24</v>
      </c>
      <c r="E450" s="32"/>
      <c r="F450" s="32"/>
      <c r="G450" s="32"/>
      <c r="H450" s="32"/>
      <c r="I450" s="171"/>
      <c r="J450" s="171"/>
      <c r="K450" s="32"/>
      <c r="L450" s="171"/>
    </row>
    <row r="451" spans="1:12" hidden="1">
      <c r="A451" s="170">
        <v>452</v>
      </c>
      <c r="B451" s="32"/>
      <c r="C451" s="171"/>
      <c r="D451" s="150" t="s">
        <v>24</v>
      </c>
      <c r="E451" s="32"/>
      <c r="F451" s="32"/>
      <c r="G451" s="32"/>
      <c r="H451" s="32"/>
      <c r="I451" s="171"/>
      <c r="J451" s="171"/>
      <c r="K451" s="32"/>
      <c r="L451" s="171"/>
    </row>
    <row r="452" spans="1:12" hidden="1">
      <c r="A452" s="170">
        <v>453</v>
      </c>
      <c r="B452" s="32"/>
      <c r="C452" s="171"/>
      <c r="D452" s="32" t="s">
        <v>24</v>
      </c>
      <c r="E452" s="32"/>
      <c r="F452" s="32"/>
      <c r="G452" s="32"/>
      <c r="H452" s="32"/>
      <c r="I452" s="171"/>
      <c r="J452" s="171"/>
      <c r="K452" s="32"/>
      <c r="L452" s="171"/>
    </row>
    <row r="453" spans="1:12" hidden="1">
      <c r="A453" s="170">
        <v>454</v>
      </c>
      <c r="B453" s="32"/>
      <c r="C453" s="171"/>
      <c r="D453" s="32" t="s">
        <v>24</v>
      </c>
      <c r="E453" s="32"/>
      <c r="F453" s="32"/>
      <c r="G453" s="32"/>
      <c r="H453" s="32"/>
      <c r="I453" s="171"/>
      <c r="J453" s="171"/>
      <c r="K453" s="32"/>
      <c r="L453" s="171"/>
    </row>
    <row r="454" spans="1:12" hidden="1">
      <c r="A454" s="170">
        <v>455</v>
      </c>
      <c r="B454" s="32"/>
      <c r="C454" s="171"/>
      <c r="D454" s="32" t="s">
        <v>24</v>
      </c>
      <c r="E454" s="32"/>
      <c r="F454" s="32"/>
      <c r="G454" s="32"/>
      <c r="H454" s="32"/>
      <c r="I454" s="171"/>
      <c r="J454" s="171"/>
      <c r="K454" s="32"/>
      <c r="L454" s="171"/>
    </row>
    <row r="455" spans="1:12" hidden="1">
      <c r="A455" s="170">
        <v>456</v>
      </c>
      <c r="B455" s="32"/>
      <c r="C455" s="171"/>
      <c r="D455" s="32" t="s">
        <v>24</v>
      </c>
      <c r="E455" s="32"/>
      <c r="F455" s="32"/>
      <c r="G455" s="32"/>
      <c r="H455" s="32"/>
      <c r="I455" s="171"/>
      <c r="J455" s="171"/>
      <c r="K455" s="32"/>
      <c r="L455" s="171"/>
    </row>
    <row r="456" spans="1:12" hidden="1">
      <c r="A456" s="170">
        <v>457</v>
      </c>
      <c r="B456" s="32"/>
      <c r="C456" s="171"/>
      <c r="D456" s="150" t="s">
        <v>24</v>
      </c>
      <c r="E456" s="32"/>
      <c r="F456" s="32"/>
      <c r="G456" s="32"/>
      <c r="H456" s="32"/>
      <c r="I456" s="171"/>
      <c r="J456" s="171"/>
      <c r="K456" s="32"/>
      <c r="L456" s="171"/>
    </row>
    <row r="457" spans="1:12" hidden="1">
      <c r="A457" s="170">
        <v>458</v>
      </c>
      <c r="B457" s="32"/>
      <c r="C457" s="171"/>
      <c r="D457" s="32" t="s">
        <v>24</v>
      </c>
      <c r="E457" s="32"/>
      <c r="F457" s="32"/>
      <c r="G457" s="32"/>
      <c r="H457" s="32"/>
      <c r="I457" s="171"/>
      <c r="J457" s="171"/>
      <c r="K457" s="32"/>
      <c r="L457" s="171"/>
    </row>
    <row r="458" spans="1:12" hidden="1">
      <c r="A458" s="170">
        <v>459</v>
      </c>
      <c r="B458" s="32"/>
      <c r="C458" s="171"/>
      <c r="D458" s="32" t="s">
        <v>24</v>
      </c>
      <c r="E458" s="32"/>
      <c r="F458" s="32"/>
      <c r="G458" s="32"/>
      <c r="H458" s="32"/>
      <c r="I458" s="171"/>
      <c r="J458" s="171"/>
      <c r="K458" s="32"/>
      <c r="L458" s="171"/>
    </row>
    <row r="459" spans="1:12" hidden="1">
      <c r="A459" s="170">
        <v>460</v>
      </c>
      <c r="B459" s="32"/>
      <c r="C459" s="171"/>
      <c r="D459" s="32" t="s">
        <v>24</v>
      </c>
      <c r="E459" s="32"/>
      <c r="F459" s="32"/>
      <c r="G459" s="32"/>
      <c r="H459" s="32"/>
      <c r="I459" s="171"/>
      <c r="J459" s="171"/>
      <c r="K459" s="32"/>
      <c r="L459" s="171"/>
    </row>
    <row r="460" spans="1:12" hidden="1">
      <c r="A460" s="170">
        <v>461</v>
      </c>
      <c r="B460" s="32"/>
      <c r="C460" s="171"/>
      <c r="D460" s="32" t="s">
        <v>24</v>
      </c>
      <c r="E460" s="32"/>
      <c r="F460" s="32"/>
      <c r="G460" s="32"/>
      <c r="H460" s="32"/>
      <c r="I460" s="171"/>
      <c r="J460" s="171"/>
      <c r="K460" s="32"/>
      <c r="L460" s="171"/>
    </row>
    <row r="461" spans="1:12" hidden="1">
      <c r="A461" s="170">
        <v>462</v>
      </c>
      <c r="B461" s="32"/>
      <c r="C461" s="171"/>
      <c r="D461" s="150" t="s">
        <v>24</v>
      </c>
      <c r="E461" s="32"/>
      <c r="F461" s="32"/>
      <c r="G461" s="32"/>
      <c r="H461" s="32"/>
      <c r="I461" s="171"/>
      <c r="J461" s="171"/>
      <c r="K461" s="32"/>
      <c r="L461" s="171"/>
    </row>
    <row r="462" spans="1:12" hidden="1">
      <c r="A462" s="170">
        <v>463</v>
      </c>
      <c r="B462" s="32"/>
      <c r="C462" s="171"/>
      <c r="D462" s="32" t="s">
        <v>24</v>
      </c>
      <c r="E462" s="32"/>
      <c r="F462" s="32"/>
      <c r="G462" s="32"/>
      <c r="H462" s="32"/>
      <c r="I462" s="171"/>
      <c r="J462" s="171"/>
      <c r="K462" s="32"/>
      <c r="L462" s="171"/>
    </row>
    <row r="463" spans="1:12" hidden="1">
      <c r="A463" s="170">
        <v>464</v>
      </c>
      <c r="B463" s="32"/>
      <c r="C463" s="171"/>
      <c r="D463" s="32" t="s">
        <v>24</v>
      </c>
      <c r="E463" s="32"/>
      <c r="F463" s="32"/>
      <c r="G463" s="32"/>
      <c r="H463" s="32"/>
      <c r="I463" s="171"/>
      <c r="J463" s="171"/>
      <c r="K463" s="32"/>
      <c r="L463" s="171"/>
    </row>
    <row r="464" spans="1:12" hidden="1">
      <c r="A464" s="170">
        <v>465</v>
      </c>
      <c r="B464" s="32"/>
      <c r="C464" s="171"/>
      <c r="D464" s="32" t="s">
        <v>24</v>
      </c>
      <c r="E464" s="32"/>
      <c r="F464" s="32"/>
      <c r="G464" s="32"/>
      <c r="H464" s="32"/>
      <c r="I464" s="171"/>
      <c r="J464" s="171"/>
      <c r="K464" s="32"/>
      <c r="L464" s="171"/>
    </row>
    <row r="465" spans="1:12" hidden="1">
      <c r="A465" s="170">
        <v>466</v>
      </c>
      <c r="B465" s="32"/>
      <c r="C465" s="171"/>
      <c r="D465" s="32" t="s">
        <v>24</v>
      </c>
      <c r="E465" s="32"/>
      <c r="F465" s="32"/>
      <c r="G465" s="32"/>
      <c r="H465" s="32"/>
      <c r="I465" s="171"/>
      <c r="J465" s="171"/>
      <c r="K465" s="32"/>
      <c r="L465" s="171"/>
    </row>
    <row r="466" spans="1:12" hidden="1">
      <c r="A466" s="170">
        <v>467</v>
      </c>
      <c r="B466" s="32"/>
      <c r="C466" s="171"/>
      <c r="D466" s="150" t="s">
        <v>24</v>
      </c>
      <c r="E466" s="32"/>
      <c r="F466" s="32"/>
      <c r="G466" s="32"/>
      <c r="H466" s="32"/>
      <c r="I466" s="171"/>
      <c r="J466" s="171"/>
      <c r="K466" s="32"/>
      <c r="L466" s="171"/>
    </row>
    <row r="467" spans="1:12" hidden="1">
      <c r="A467" s="170">
        <v>468</v>
      </c>
      <c r="B467" s="32"/>
      <c r="C467" s="171"/>
      <c r="D467" s="32" t="s">
        <v>24</v>
      </c>
      <c r="E467" s="32"/>
      <c r="F467" s="32"/>
      <c r="G467" s="32"/>
      <c r="H467" s="32"/>
      <c r="I467" s="171"/>
      <c r="J467" s="171"/>
      <c r="K467" s="32"/>
      <c r="L467" s="171"/>
    </row>
    <row r="468" spans="1:12" hidden="1">
      <c r="A468" s="170">
        <v>469</v>
      </c>
      <c r="B468" s="32"/>
      <c r="C468" s="171"/>
      <c r="D468" s="32" t="s">
        <v>24</v>
      </c>
      <c r="E468" s="32"/>
      <c r="F468" s="32"/>
      <c r="G468" s="32"/>
      <c r="H468" s="32"/>
      <c r="I468" s="171"/>
      <c r="J468" s="171"/>
      <c r="K468" s="32"/>
      <c r="L468" s="171"/>
    </row>
    <row r="469" spans="1:12" hidden="1">
      <c r="A469" s="170">
        <v>470</v>
      </c>
      <c r="B469" s="32"/>
      <c r="C469" s="171"/>
      <c r="D469" s="32" t="s">
        <v>24</v>
      </c>
      <c r="E469" s="32"/>
      <c r="F469" s="32"/>
      <c r="G469" s="32"/>
      <c r="H469" s="32"/>
      <c r="I469" s="171"/>
      <c r="J469" s="171"/>
      <c r="K469" s="32"/>
      <c r="L469" s="171"/>
    </row>
    <row r="470" spans="1:12" hidden="1">
      <c r="A470" s="170">
        <v>471</v>
      </c>
      <c r="B470" s="32"/>
      <c r="C470" s="171"/>
      <c r="D470" s="32" t="s">
        <v>24</v>
      </c>
      <c r="E470" s="32"/>
      <c r="F470" s="32"/>
      <c r="G470" s="32"/>
      <c r="H470" s="32"/>
      <c r="I470" s="171"/>
      <c r="J470" s="171"/>
      <c r="K470" s="32"/>
      <c r="L470" s="171"/>
    </row>
    <row r="471" spans="1:12" hidden="1">
      <c r="A471" s="170">
        <v>472</v>
      </c>
      <c r="B471" s="32"/>
      <c r="C471" s="171"/>
      <c r="D471" s="150" t="s">
        <v>24</v>
      </c>
      <c r="E471" s="32"/>
      <c r="F471" s="32"/>
      <c r="G471" s="32"/>
      <c r="H471" s="32"/>
      <c r="I471" s="171"/>
      <c r="J471" s="171"/>
      <c r="K471" s="32"/>
      <c r="L471" s="171"/>
    </row>
    <row r="472" spans="1:12" hidden="1">
      <c r="A472" s="170">
        <v>473</v>
      </c>
      <c r="B472" s="32"/>
      <c r="C472" s="171"/>
      <c r="D472" s="32" t="s">
        <v>24</v>
      </c>
      <c r="E472" s="32"/>
      <c r="F472" s="32"/>
      <c r="G472" s="32"/>
      <c r="H472" s="32"/>
      <c r="I472" s="171"/>
      <c r="J472" s="171"/>
      <c r="K472" s="32"/>
      <c r="L472" s="171"/>
    </row>
    <row r="473" spans="1:12" hidden="1">
      <c r="A473" s="170">
        <v>474</v>
      </c>
      <c r="B473" s="32"/>
      <c r="C473" s="171"/>
      <c r="D473" s="32" t="s">
        <v>24</v>
      </c>
      <c r="E473" s="32"/>
      <c r="F473" s="32"/>
      <c r="G473" s="32"/>
      <c r="H473" s="32"/>
      <c r="I473" s="171"/>
      <c r="J473" s="171"/>
      <c r="K473" s="32"/>
      <c r="L473" s="171"/>
    </row>
    <row r="474" spans="1:12" hidden="1">
      <c r="A474" s="170">
        <v>475</v>
      </c>
      <c r="B474" s="32"/>
      <c r="C474" s="171"/>
      <c r="D474" s="32" t="s">
        <v>24</v>
      </c>
      <c r="E474" s="32"/>
      <c r="F474" s="32"/>
      <c r="G474" s="32"/>
      <c r="H474" s="32"/>
      <c r="I474" s="171"/>
      <c r="J474" s="171"/>
      <c r="K474" s="32"/>
      <c r="L474" s="171"/>
    </row>
    <row r="475" spans="1:12" hidden="1">
      <c r="A475" s="170">
        <v>476</v>
      </c>
      <c r="B475" s="32"/>
      <c r="C475" s="171"/>
      <c r="D475" s="32" t="s">
        <v>24</v>
      </c>
      <c r="E475" s="32"/>
      <c r="F475" s="32"/>
      <c r="G475" s="32"/>
      <c r="H475" s="32"/>
      <c r="I475" s="171"/>
      <c r="J475" s="171"/>
      <c r="K475" s="32"/>
      <c r="L475" s="171"/>
    </row>
    <row r="476" spans="1:12" hidden="1">
      <c r="A476" s="170">
        <v>477</v>
      </c>
      <c r="B476" s="32"/>
      <c r="C476" s="171"/>
      <c r="D476" s="150" t="s">
        <v>24</v>
      </c>
      <c r="E476" s="32"/>
      <c r="F476" s="32"/>
      <c r="G476" s="32"/>
      <c r="H476" s="32"/>
      <c r="I476" s="171"/>
      <c r="J476" s="171"/>
      <c r="K476" s="32"/>
      <c r="L476" s="171"/>
    </row>
    <row r="477" spans="1:12" hidden="1">
      <c r="A477" s="170">
        <v>478</v>
      </c>
      <c r="B477" s="32"/>
      <c r="C477" s="171"/>
      <c r="D477" s="32" t="s">
        <v>24</v>
      </c>
      <c r="E477" s="32"/>
      <c r="F477" s="32"/>
      <c r="G477" s="32"/>
      <c r="H477" s="32"/>
      <c r="I477" s="171"/>
      <c r="J477" s="171"/>
      <c r="K477" s="32"/>
      <c r="L477" s="171"/>
    </row>
    <row r="478" spans="1:12" hidden="1">
      <c r="A478" s="170">
        <v>479</v>
      </c>
      <c r="B478" s="32"/>
      <c r="C478" s="171"/>
      <c r="D478" s="32" t="s">
        <v>24</v>
      </c>
      <c r="E478" s="32"/>
      <c r="F478" s="32"/>
      <c r="G478" s="32"/>
      <c r="H478" s="32"/>
      <c r="I478" s="171"/>
      <c r="J478" s="171"/>
      <c r="K478" s="32"/>
      <c r="L478" s="171"/>
    </row>
    <row r="479" spans="1:12" hidden="1">
      <c r="A479" s="170">
        <v>480</v>
      </c>
      <c r="B479" s="32"/>
      <c r="C479" s="171"/>
      <c r="D479" s="32" t="s">
        <v>24</v>
      </c>
      <c r="E479" s="32"/>
      <c r="F479" s="32"/>
      <c r="G479" s="32"/>
      <c r="H479" s="32"/>
      <c r="I479" s="171"/>
      <c r="J479" s="171"/>
      <c r="K479" s="32"/>
      <c r="L479" s="171"/>
    </row>
    <row r="480" spans="1:12" hidden="1">
      <c r="A480" s="170">
        <v>481</v>
      </c>
      <c r="B480" s="32"/>
      <c r="C480" s="171"/>
      <c r="D480" s="32" t="s">
        <v>24</v>
      </c>
      <c r="E480" s="32"/>
      <c r="F480" s="32"/>
      <c r="G480" s="32"/>
      <c r="H480" s="32"/>
      <c r="I480" s="171"/>
      <c r="J480" s="171"/>
      <c r="K480" s="32"/>
      <c r="L480" s="171"/>
    </row>
    <row r="481" spans="1:12" hidden="1">
      <c r="A481" s="170">
        <v>482</v>
      </c>
      <c r="B481" s="32"/>
      <c r="C481" s="171"/>
      <c r="D481" s="150" t="s">
        <v>24</v>
      </c>
      <c r="E481" s="32"/>
      <c r="F481" s="32"/>
      <c r="G481" s="32"/>
      <c r="H481" s="32"/>
      <c r="I481" s="171"/>
      <c r="J481" s="171"/>
      <c r="K481" s="32"/>
      <c r="L481" s="171"/>
    </row>
    <row r="482" spans="1:12" hidden="1">
      <c r="A482" s="170">
        <v>483</v>
      </c>
      <c r="B482" s="32"/>
      <c r="C482" s="171"/>
      <c r="D482" s="32" t="s">
        <v>24</v>
      </c>
      <c r="E482" s="32"/>
      <c r="F482" s="32"/>
      <c r="G482" s="32"/>
      <c r="H482" s="32"/>
      <c r="I482" s="171"/>
      <c r="J482" s="171"/>
      <c r="K482" s="32"/>
      <c r="L482" s="171"/>
    </row>
    <row r="483" spans="1:12" hidden="1">
      <c r="A483" s="170">
        <v>484</v>
      </c>
      <c r="B483" s="32"/>
      <c r="C483" s="171"/>
      <c r="D483" s="32" t="s">
        <v>24</v>
      </c>
      <c r="E483" s="32"/>
      <c r="F483" s="32"/>
      <c r="G483" s="32"/>
      <c r="H483" s="32"/>
      <c r="I483" s="171"/>
      <c r="J483" s="171"/>
      <c r="K483" s="32"/>
      <c r="L483" s="171"/>
    </row>
    <row r="484" spans="1:12" hidden="1">
      <c r="A484" s="170">
        <v>485</v>
      </c>
      <c r="B484" s="32"/>
      <c r="C484" s="171"/>
      <c r="D484" s="32" t="s">
        <v>24</v>
      </c>
      <c r="E484" s="32"/>
      <c r="F484" s="32"/>
      <c r="G484" s="32"/>
      <c r="H484" s="32"/>
      <c r="I484" s="171"/>
      <c r="J484" s="171"/>
      <c r="K484" s="32"/>
      <c r="L484" s="171"/>
    </row>
    <row r="485" spans="1:12" hidden="1">
      <c r="A485" s="170">
        <v>486</v>
      </c>
      <c r="B485" s="32"/>
      <c r="C485" s="171"/>
      <c r="D485" s="32" t="s">
        <v>24</v>
      </c>
      <c r="E485" s="32"/>
      <c r="F485" s="32"/>
      <c r="G485" s="32"/>
      <c r="H485" s="32"/>
      <c r="I485" s="171"/>
      <c r="J485" s="171"/>
      <c r="K485" s="32"/>
      <c r="L485" s="171"/>
    </row>
    <row r="486" spans="1:12" hidden="1">
      <c r="A486" s="170">
        <v>487</v>
      </c>
      <c r="B486" s="32"/>
      <c r="C486" s="171"/>
      <c r="D486" s="150" t="s">
        <v>24</v>
      </c>
      <c r="E486" s="32"/>
      <c r="F486" s="32"/>
      <c r="G486" s="32"/>
      <c r="H486" s="32"/>
      <c r="I486" s="171"/>
      <c r="J486" s="171"/>
      <c r="K486" s="32"/>
      <c r="L486" s="171"/>
    </row>
    <row r="487" spans="1:12" hidden="1">
      <c r="A487" s="170">
        <v>488</v>
      </c>
      <c r="B487" s="32"/>
      <c r="C487" s="171"/>
      <c r="D487" s="32" t="s">
        <v>24</v>
      </c>
      <c r="E487" s="32"/>
      <c r="F487" s="32"/>
      <c r="G487" s="32"/>
      <c r="H487" s="32"/>
      <c r="I487" s="171"/>
      <c r="J487" s="171"/>
      <c r="K487" s="32"/>
      <c r="L487" s="171"/>
    </row>
    <row r="488" spans="1:12" hidden="1">
      <c r="A488" s="170">
        <v>489</v>
      </c>
      <c r="B488" s="32"/>
      <c r="C488" s="171"/>
      <c r="D488" s="32" t="s">
        <v>24</v>
      </c>
      <c r="E488" s="32"/>
      <c r="F488" s="32"/>
      <c r="G488" s="32"/>
      <c r="H488" s="32"/>
      <c r="I488" s="171"/>
      <c r="J488" s="171"/>
      <c r="K488" s="32"/>
      <c r="L488" s="171"/>
    </row>
    <row r="489" spans="1:12" hidden="1">
      <c r="A489" s="170">
        <v>490</v>
      </c>
      <c r="B489" s="32"/>
      <c r="C489" s="171"/>
      <c r="D489" s="32" t="s">
        <v>24</v>
      </c>
      <c r="E489" s="32"/>
      <c r="F489" s="32"/>
      <c r="G489" s="32"/>
      <c r="H489" s="32"/>
      <c r="I489" s="171"/>
      <c r="J489" s="171"/>
      <c r="K489" s="32"/>
      <c r="L489" s="171"/>
    </row>
    <row r="490" spans="1:12" hidden="1">
      <c r="A490" s="170">
        <v>491</v>
      </c>
      <c r="B490" s="32"/>
      <c r="C490" s="171"/>
      <c r="D490" s="32" t="s">
        <v>24</v>
      </c>
      <c r="E490" s="32"/>
      <c r="F490" s="32"/>
      <c r="G490" s="32"/>
      <c r="H490" s="32"/>
      <c r="I490" s="171"/>
      <c r="J490" s="171"/>
      <c r="K490" s="32"/>
      <c r="L490" s="171"/>
    </row>
    <row r="491" spans="1:12" hidden="1">
      <c r="A491" s="170">
        <v>492</v>
      </c>
      <c r="B491" s="32"/>
      <c r="C491" s="171"/>
      <c r="D491" s="150" t="s">
        <v>24</v>
      </c>
      <c r="E491" s="32"/>
      <c r="F491" s="32"/>
      <c r="G491" s="32"/>
      <c r="H491" s="32"/>
      <c r="I491" s="171"/>
      <c r="J491" s="171"/>
      <c r="K491" s="32"/>
      <c r="L491" s="171"/>
    </row>
    <row r="492" spans="1:12" hidden="1">
      <c r="A492" s="170">
        <v>493</v>
      </c>
      <c r="B492" s="32"/>
      <c r="C492" s="171"/>
      <c r="D492" s="32" t="s">
        <v>24</v>
      </c>
      <c r="E492" s="32"/>
      <c r="F492" s="32"/>
      <c r="G492" s="32"/>
      <c r="H492" s="32"/>
      <c r="I492" s="171"/>
      <c r="J492" s="171"/>
      <c r="K492" s="32"/>
      <c r="L492" s="171"/>
    </row>
    <row r="493" spans="1:12" hidden="1">
      <c r="A493" s="170">
        <v>494</v>
      </c>
      <c r="B493" s="32"/>
      <c r="C493" s="171"/>
      <c r="D493" s="32" t="s">
        <v>24</v>
      </c>
      <c r="E493" s="32"/>
      <c r="F493" s="32"/>
      <c r="G493" s="32"/>
      <c r="H493" s="32"/>
      <c r="I493" s="171"/>
      <c r="J493" s="171"/>
      <c r="K493" s="32"/>
      <c r="L493" s="171"/>
    </row>
    <row r="494" spans="1:12" hidden="1">
      <c r="A494" s="170">
        <v>495</v>
      </c>
      <c r="B494" s="32"/>
      <c r="C494" s="171"/>
      <c r="D494" s="32" t="s">
        <v>24</v>
      </c>
      <c r="E494" s="32"/>
      <c r="F494" s="32"/>
      <c r="G494" s="32"/>
      <c r="H494" s="32"/>
      <c r="I494" s="171"/>
      <c r="J494" s="171"/>
      <c r="K494" s="32"/>
      <c r="L494" s="171"/>
    </row>
    <row r="495" spans="1:12" hidden="1">
      <c r="A495" s="170">
        <v>496</v>
      </c>
      <c r="B495" s="32"/>
      <c r="C495" s="171"/>
      <c r="D495" s="32" t="s">
        <v>24</v>
      </c>
      <c r="E495" s="32"/>
      <c r="F495" s="32"/>
      <c r="G495" s="32"/>
      <c r="H495" s="32"/>
      <c r="I495" s="171"/>
      <c r="J495" s="171"/>
      <c r="K495" s="32"/>
      <c r="L495" s="171"/>
    </row>
    <row r="496" spans="1:12" hidden="1">
      <c r="A496" s="170">
        <v>497</v>
      </c>
      <c r="B496" s="32"/>
      <c r="C496" s="171"/>
      <c r="D496" s="150" t="s">
        <v>24</v>
      </c>
      <c r="E496" s="32"/>
      <c r="F496" s="32"/>
      <c r="G496" s="32"/>
      <c r="H496" s="32"/>
      <c r="I496" s="171"/>
      <c r="J496" s="171"/>
      <c r="K496" s="32"/>
      <c r="L496" s="171"/>
    </row>
    <row r="497" spans="1:12" hidden="1">
      <c r="A497" s="170">
        <v>498</v>
      </c>
      <c r="B497" s="32"/>
      <c r="C497" s="171"/>
      <c r="D497" s="32" t="s">
        <v>24</v>
      </c>
      <c r="E497" s="32"/>
      <c r="F497" s="32"/>
      <c r="G497" s="32"/>
      <c r="H497" s="32"/>
      <c r="I497" s="171"/>
      <c r="J497" s="171"/>
      <c r="K497" s="32"/>
      <c r="L497" s="171"/>
    </row>
    <row r="498" spans="1:12" hidden="1">
      <c r="A498" s="170">
        <v>499</v>
      </c>
      <c r="B498" s="32"/>
      <c r="C498" s="171"/>
      <c r="D498" s="32" t="s">
        <v>24</v>
      </c>
      <c r="E498" s="32"/>
      <c r="F498" s="32"/>
      <c r="G498" s="32"/>
      <c r="H498" s="32"/>
      <c r="I498" s="171"/>
      <c r="J498" s="171"/>
      <c r="K498" s="32"/>
      <c r="L498" s="171"/>
    </row>
    <row r="499" spans="1:12" hidden="1">
      <c r="A499" s="170">
        <v>500</v>
      </c>
      <c r="B499" s="32"/>
      <c r="C499" s="171"/>
      <c r="D499" s="32" t="s">
        <v>24</v>
      </c>
      <c r="E499" s="32"/>
      <c r="F499" s="32"/>
      <c r="G499" s="32"/>
      <c r="H499" s="32"/>
      <c r="I499" s="171"/>
      <c r="J499" s="171"/>
      <c r="K499" s="32"/>
      <c r="L499" s="171"/>
    </row>
    <row r="500" spans="1:12" hidden="1">
      <c r="A500" s="170">
        <v>501</v>
      </c>
      <c r="B500" s="32"/>
      <c r="C500" s="171"/>
      <c r="D500" s="32" t="s">
        <v>24</v>
      </c>
      <c r="E500" s="32"/>
      <c r="F500" s="32"/>
      <c r="G500" s="32"/>
      <c r="H500" s="32"/>
      <c r="I500" s="171"/>
      <c r="J500" s="171"/>
      <c r="K500" s="32"/>
      <c r="L500" s="171"/>
    </row>
    <row r="501" spans="1:12" hidden="1">
      <c r="A501" s="170">
        <v>502</v>
      </c>
      <c r="B501" s="32"/>
      <c r="C501" s="171"/>
      <c r="D501" s="150" t="s">
        <v>24</v>
      </c>
      <c r="E501" s="32"/>
      <c r="F501" s="32"/>
      <c r="G501" s="32"/>
      <c r="H501" s="32"/>
      <c r="I501" s="171"/>
      <c r="J501" s="171"/>
      <c r="K501" s="32"/>
      <c r="L501" s="171"/>
    </row>
    <row r="502" spans="1:12" hidden="1">
      <c r="A502" s="170">
        <v>503</v>
      </c>
      <c r="B502" s="32"/>
      <c r="C502" s="171"/>
      <c r="D502" s="32" t="s">
        <v>24</v>
      </c>
      <c r="E502" s="32"/>
      <c r="F502" s="32"/>
      <c r="G502" s="32"/>
      <c r="H502" s="32"/>
      <c r="I502" s="171"/>
      <c r="J502" s="171"/>
      <c r="K502" s="32"/>
      <c r="L502" s="171"/>
    </row>
    <row r="503" spans="1:12" hidden="1">
      <c r="A503" s="170">
        <v>504</v>
      </c>
      <c r="B503" s="32"/>
      <c r="C503" s="171"/>
      <c r="D503" s="32" t="s">
        <v>24</v>
      </c>
      <c r="E503" s="32"/>
      <c r="F503" s="32"/>
      <c r="G503" s="32"/>
      <c r="H503" s="32"/>
      <c r="I503" s="171"/>
      <c r="J503" s="171"/>
      <c r="K503" s="32"/>
      <c r="L503" s="171"/>
    </row>
    <row r="504" spans="1:12" hidden="1">
      <c r="A504" s="170">
        <v>505</v>
      </c>
      <c r="B504" s="32"/>
      <c r="C504" s="171"/>
      <c r="D504" s="32" t="s">
        <v>24</v>
      </c>
      <c r="E504" s="32"/>
      <c r="F504" s="32"/>
      <c r="G504" s="32"/>
      <c r="H504" s="32"/>
      <c r="I504" s="171"/>
      <c r="J504" s="171"/>
      <c r="K504" s="32"/>
      <c r="L504" s="171"/>
    </row>
    <row r="505" spans="1:12" hidden="1">
      <c r="A505" s="170">
        <v>506</v>
      </c>
      <c r="B505" s="32"/>
      <c r="C505" s="171"/>
      <c r="D505" s="32" t="s">
        <v>24</v>
      </c>
      <c r="E505" s="32"/>
      <c r="F505" s="32"/>
      <c r="G505" s="32"/>
      <c r="H505" s="32"/>
      <c r="I505" s="171"/>
      <c r="J505" s="171"/>
      <c r="K505" s="32"/>
      <c r="L505" s="171"/>
    </row>
    <row r="506" spans="1:12" hidden="1">
      <c r="A506" s="170">
        <v>507</v>
      </c>
      <c r="B506" s="32"/>
      <c r="C506" s="171"/>
      <c r="D506" s="150" t="s">
        <v>24</v>
      </c>
      <c r="E506" s="32"/>
      <c r="F506" s="32"/>
      <c r="G506" s="32"/>
      <c r="H506" s="32"/>
      <c r="I506" s="171"/>
      <c r="J506" s="171"/>
      <c r="K506" s="32"/>
      <c r="L506" s="171"/>
    </row>
    <row r="507" spans="1:12" hidden="1">
      <c r="A507" s="170">
        <v>508</v>
      </c>
      <c r="B507" s="32"/>
      <c r="C507" s="171"/>
      <c r="D507" s="32" t="s">
        <v>24</v>
      </c>
      <c r="E507" s="32"/>
      <c r="F507" s="32"/>
      <c r="G507" s="32"/>
      <c r="H507" s="32"/>
      <c r="I507" s="171"/>
      <c r="J507" s="171"/>
      <c r="K507" s="32"/>
      <c r="L507" s="171"/>
    </row>
    <row r="508" spans="1:12" hidden="1">
      <c r="A508" s="170">
        <v>509</v>
      </c>
      <c r="B508" s="32"/>
      <c r="C508" s="171"/>
      <c r="D508" s="32" t="s">
        <v>24</v>
      </c>
      <c r="E508" s="32"/>
      <c r="F508" s="32"/>
      <c r="G508" s="32"/>
      <c r="H508" s="32"/>
      <c r="I508" s="171"/>
      <c r="J508" s="171"/>
      <c r="K508" s="32"/>
      <c r="L508" s="171"/>
    </row>
    <row r="509" spans="1:12" hidden="1">
      <c r="A509" s="170">
        <v>510</v>
      </c>
      <c r="B509" s="32"/>
      <c r="C509" s="171"/>
      <c r="D509" s="32" t="s">
        <v>24</v>
      </c>
      <c r="E509" s="32"/>
      <c r="F509" s="32"/>
      <c r="G509" s="32"/>
      <c r="H509" s="32"/>
      <c r="I509" s="171"/>
      <c r="J509" s="171"/>
      <c r="K509" s="32"/>
      <c r="L509" s="171"/>
    </row>
    <row r="510" spans="1:12" hidden="1">
      <c r="A510" s="170">
        <v>511</v>
      </c>
      <c r="B510" s="32"/>
      <c r="C510" s="171"/>
      <c r="D510" s="32" t="s">
        <v>24</v>
      </c>
      <c r="E510" s="32"/>
      <c r="F510" s="32"/>
      <c r="G510" s="32"/>
      <c r="H510" s="32"/>
      <c r="I510" s="171"/>
      <c r="J510" s="171"/>
      <c r="K510" s="32"/>
      <c r="L510" s="171"/>
    </row>
    <row r="511" spans="1:12" hidden="1">
      <c r="A511" s="170">
        <v>512</v>
      </c>
      <c r="B511" s="32"/>
      <c r="C511" s="171"/>
      <c r="D511" s="150" t="s">
        <v>24</v>
      </c>
      <c r="E511" s="32"/>
      <c r="F511" s="32"/>
      <c r="G511" s="32"/>
      <c r="H511" s="32"/>
      <c r="I511" s="171"/>
      <c r="J511" s="171"/>
      <c r="K511" s="32"/>
      <c r="L511" s="171"/>
    </row>
    <row r="512" spans="1:12" hidden="1">
      <c r="A512" s="170">
        <v>513</v>
      </c>
      <c r="B512" s="32"/>
      <c r="C512" s="171"/>
      <c r="D512" s="32" t="s">
        <v>24</v>
      </c>
      <c r="E512" s="32"/>
      <c r="F512" s="32"/>
      <c r="G512" s="32"/>
      <c r="H512" s="32"/>
      <c r="I512" s="171"/>
      <c r="J512" s="171"/>
      <c r="K512" s="32"/>
      <c r="L512" s="171"/>
    </row>
    <row r="513" spans="1:12" hidden="1">
      <c r="A513" s="170">
        <v>514</v>
      </c>
      <c r="B513" s="32"/>
      <c r="C513" s="171"/>
      <c r="D513" s="32" t="s">
        <v>24</v>
      </c>
      <c r="E513" s="32"/>
      <c r="F513" s="32"/>
      <c r="G513" s="32"/>
      <c r="H513" s="32"/>
      <c r="I513" s="171"/>
      <c r="J513" s="171"/>
      <c r="K513" s="32"/>
      <c r="L513" s="171"/>
    </row>
    <row r="514" spans="1:12" hidden="1">
      <c r="A514" s="170">
        <v>515</v>
      </c>
      <c r="B514" s="32"/>
      <c r="C514" s="171"/>
      <c r="D514" s="32" t="s">
        <v>24</v>
      </c>
      <c r="E514" s="32"/>
      <c r="F514" s="32"/>
      <c r="G514" s="32"/>
      <c r="H514" s="32"/>
      <c r="I514" s="171"/>
      <c r="J514" s="171"/>
      <c r="K514" s="32"/>
      <c r="L514" s="171"/>
    </row>
    <row r="515" spans="1:12" hidden="1">
      <c r="A515" s="170">
        <v>516</v>
      </c>
      <c r="B515" s="32"/>
      <c r="C515" s="171"/>
      <c r="D515" s="32" t="s">
        <v>24</v>
      </c>
      <c r="E515" s="32"/>
      <c r="F515" s="32"/>
      <c r="G515" s="32"/>
      <c r="H515" s="32"/>
      <c r="I515" s="171"/>
      <c r="J515" s="171"/>
      <c r="K515" s="32"/>
      <c r="L515" s="171"/>
    </row>
    <row r="516" spans="1:12" hidden="1">
      <c r="A516" s="170">
        <v>517</v>
      </c>
      <c r="B516" s="32"/>
      <c r="C516" s="171"/>
      <c r="D516" s="150" t="s">
        <v>24</v>
      </c>
      <c r="E516" s="32"/>
      <c r="F516" s="32"/>
      <c r="G516" s="32"/>
      <c r="H516" s="32"/>
      <c r="I516" s="171"/>
      <c r="J516" s="171"/>
      <c r="K516" s="32"/>
      <c r="L516" s="171"/>
    </row>
    <row r="517" spans="1:12" hidden="1">
      <c r="A517" s="170">
        <v>518</v>
      </c>
      <c r="B517" s="32"/>
      <c r="C517" s="171"/>
      <c r="D517" s="32" t="s">
        <v>24</v>
      </c>
      <c r="E517" s="32"/>
      <c r="F517" s="32"/>
      <c r="G517" s="32"/>
      <c r="H517" s="32"/>
      <c r="I517" s="171"/>
      <c r="J517" s="171"/>
      <c r="K517" s="32"/>
      <c r="L517" s="171"/>
    </row>
    <row r="518" spans="1:12" hidden="1">
      <c r="A518" s="170">
        <v>519</v>
      </c>
      <c r="B518" s="32"/>
      <c r="C518" s="171"/>
      <c r="D518" s="32" t="s">
        <v>24</v>
      </c>
      <c r="E518" s="32"/>
      <c r="F518" s="32"/>
      <c r="G518" s="32"/>
      <c r="H518" s="32"/>
      <c r="I518" s="171"/>
      <c r="J518" s="171"/>
      <c r="K518" s="32"/>
      <c r="L518" s="171"/>
    </row>
    <row r="519" spans="1:12" hidden="1">
      <c r="A519" s="170">
        <v>520</v>
      </c>
      <c r="B519" s="32"/>
      <c r="C519" s="171"/>
      <c r="D519" s="32" t="s">
        <v>24</v>
      </c>
      <c r="E519" s="32"/>
      <c r="F519" s="32"/>
      <c r="G519" s="32"/>
      <c r="H519" s="32"/>
      <c r="I519" s="171"/>
      <c r="J519" s="171"/>
      <c r="K519" s="32"/>
      <c r="L519" s="171"/>
    </row>
    <row r="520" spans="1:12" hidden="1">
      <c r="A520" s="170">
        <v>521</v>
      </c>
      <c r="B520" s="32"/>
      <c r="C520" s="171"/>
      <c r="D520" s="32" t="s">
        <v>24</v>
      </c>
      <c r="E520" s="32"/>
      <c r="F520" s="32"/>
      <c r="G520" s="32"/>
      <c r="H520" s="32"/>
      <c r="I520" s="171"/>
      <c r="J520" s="171"/>
      <c r="K520" s="32"/>
      <c r="L520" s="171"/>
    </row>
    <row r="521" spans="1:12" hidden="1">
      <c r="A521" s="170">
        <v>522</v>
      </c>
      <c r="B521" s="32"/>
      <c r="C521" s="171"/>
      <c r="D521" s="150" t="s">
        <v>24</v>
      </c>
      <c r="E521" s="32"/>
      <c r="F521" s="32"/>
      <c r="G521" s="32"/>
      <c r="H521" s="32"/>
      <c r="I521" s="171"/>
      <c r="J521" s="171"/>
      <c r="K521" s="32"/>
      <c r="L521" s="171"/>
    </row>
    <row r="522" spans="1:12" hidden="1">
      <c r="A522" s="170">
        <v>523</v>
      </c>
      <c r="B522" s="32"/>
      <c r="C522" s="171"/>
      <c r="D522" s="32" t="s">
        <v>24</v>
      </c>
      <c r="E522" s="32"/>
      <c r="F522" s="32"/>
      <c r="G522" s="32"/>
      <c r="H522" s="32"/>
      <c r="I522" s="171"/>
      <c r="J522" s="171"/>
      <c r="K522" s="32"/>
      <c r="L522" s="171"/>
    </row>
    <row r="523" spans="1:12" hidden="1">
      <c r="A523" s="170">
        <v>524</v>
      </c>
      <c r="B523" s="32"/>
      <c r="C523" s="171"/>
      <c r="D523" s="32" t="s">
        <v>24</v>
      </c>
      <c r="E523" s="32"/>
      <c r="F523" s="32"/>
      <c r="G523" s="32"/>
      <c r="H523" s="32"/>
      <c r="I523" s="171"/>
      <c r="J523" s="171"/>
      <c r="K523" s="32"/>
      <c r="L523" s="171"/>
    </row>
    <row r="524" spans="1:12" hidden="1">
      <c r="A524" s="170">
        <v>525</v>
      </c>
      <c r="B524" s="32"/>
      <c r="C524" s="171"/>
      <c r="D524" s="32" t="s">
        <v>24</v>
      </c>
      <c r="E524" s="32"/>
      <c r="F524" s="32"/>
      <c r="G524" s="32"/>
      <c r="H524" s="32"/>
      <c r="I524" s="171"/>
      <c r="J524" s="171"/>
      <c r="K524" s="32"/>
      <c r="L524" s="171"/>
    </row>
    <row r="525" spans="1:12" hidden="1">
      <c r="A525" s="170">
        <v>526</v>
      </c>
      <c r="B525" s="32"/>
      <c r="C525" s="171"/>
      <c r="D525" s="32" t="s">
        <v>24</v>
      </c>
      <c r="E525" s="32"/>
      <c r="F525" s="32"/>
      <c r="G525" s="32"/>
      <c r="H525" s="32"/>
      <c r="I525" s="171"/>
      <c r="J525" s="171"/>
      <c r="K525" s="32"/>
      <c r="L525" s="171"/>
    </row>
    <row r="526" spans="1:12" hidden="1">
      <c r="A526" s="170">
        <v>527</v>
      </c>
      <c r="B526" s="32"/>
      <c r="C526" s="171"/>
      <c r="D526" s="150" t="s">
        <v>24</v>
      </c>
      <c r="E526" s="32"/>
      <c r="F526" s="32"/>
      <c r="G526" s="32"/>
      <c r="H526" s="32"/>
      <c r="I526" s="171"/>
      <c r="J526" s="171"/>
      <c r="K526" s="32"/>
      <c r="L526" s="171"/>
    </row>
    <row r="527" spans="1:12" hidden="1">
      <c r="A527" s="170">
        <v>528</v>
      </c>
      <c r="B527" s="32"/>
      <c r="C527" s="171"/>
      <c r="D527" s="32" t="s">
        <v>24</v>
      </c>
      <c r="E527" s="32"/>
      <c r="F527" s="32"/>
      <c r="G527" s="32"/>
      <c r="H527" s="32"/>
      <c r="I527" s="171"/>
      <c r="J527" s="171"/>
      <c r="K527" s="32"/>
      <c r="L527" s="171"/>
    </row>
    <row r="528" spans="1:12" hidden="1">
      <c r="A528" s="170">
        <v>529</v>
      </c>
      <c r="B528" s="32"/>
      <c r="C528" s="171"/>
      <c r="D528" s="32" t="s">
        <v>24</v>
      </c>
      <c r="E528" s="32"/>
      <c r="F528" s="32"/>
      <c r="G528" s="32"/>
      <c r="H528" s="32"/>
      <c r="I528" s="171"/>
      <c r="J528" s="171"/>
      <c r="K528" s="32"/>
      <c r="L528" s="171"/>
    </row>
    <row r="529" spans="1:12" hidden="1">
      <c r="A529" s="170">
        <v>530</v>
      </c>
      <c r="B529" s="32"/>
      <c r="C529" s="171"/>
      <c r="D529" s="32" t="s">
        <v>24</v>
      </c>
      <c r="E529" s="32"/>
      <c r="F529" s="32"/>
      <c r="G529" s="32"/>
      <c r="H529" s="32"/>
      <c r="I529" s="171"/>
      <c r="J529" s="171"/>
      <c r="K529" s="32"/>
      <c r="L529" s="171"/>
    </row>
    <row r="530" spans="1:12" hidden="1">
      <c r="A530" s="170">
        <v>531</v>
      </c>
      <c r="B530" s="32"/>
      <c r="C530" s="171"/>
      <c r="D530" s="32" t="s">
        <v>24</v>
      </c>
      <c r="E530" s="32"/>
      <c r="F530" s="32"/>
      <c r="G530" s="32"/>
      <c r="H530" s="32"/>
      <c r="I530" s="171"/>
      <c r="J530" s="171"/>
      <c r="K530" s="32"/>
      <c r="L530" s="171"/>
    </row>
    <row r="531" spans="1:12" hidden="1">
      <c r="A531" s="170">
        <v>532</v>
      </c>
      <c r="B531" s="32"/>
      <c r="C531" s="171"/>
      <c r="D531" s="150" t="s">
        <v>24</v>
      </c>
      <c r="E531" s="32"/>
      <c r="F531" s="32"/>
      <c r="G531" s="32"/>
      <c r="H531" s="32"/>
      <c r="I531" s="171"/>
      <c r="J531" s="171"/>
      <c r="K531" s="32"/>
      <c r="L531" s="171"/>
    </row>
    <row r="532" spans="1:12" hidden="1">
      <c r="A532" s="170">
        <v>533</v>
      </c>
      <c r="B532" s="32"/>
      <c r="C532" s="171"/>
      <c r="D532" s="32" t="s">
        <v>24</v>
      </c>
      <c r="E532" s="32"/>
      <c r="F532" s="32"/>
      <c r="G532" s="32"/>
      <c r="H532" s="32"/>
      <c r="I532" s="171"/>
      <c r="J532" s="171"/>
      <c r="K532" s="32"/>
      <c r="L532" s="171"/>
    </row>
    <row r="533" spans="1:12" hidden="1">
      <c r="A533" s="170">
        <v>534</v>
      </c>
      <c r="B533" s="32"/>
      <c r="C533" s="171"/>
      <c r="D533" s="32" t="s">
        <v>24</v>
      </c>
      <c r="E533" s="32"/>
      <c r="F533" s="32"/>
      <c r="G533" s="32"/>
      <c r="H533" s="32"/>
      <c r="I533" s="171"/>
      <c r="J533" s="171"/>
      <c r="K533" s="32"/>
      <c r="L533" s="171"/>
    </row>
    <row r="534" spans="1:12" hidden="1">
      <c r="A534" s="170">
        <v>535</v>
      </c>
      <c r="B534" s="32"/>
      <c r="C534" s="171"/>
      <c r="D534" s="32" t="s">
        <v>24</v>
      </c>
      <c r="E534" s="32"/>
      <c r="F534" s="32"/>
      <c r="G534" s="32"/>
      <c r="H534" s="32"/>
      <c r="I534" s="171"/>
      <c r="J534" s="171"/>
      <c r="K534" s="32"/>
      <c r="L534" s="171"/>
    </row>
    <row r="535" spans="1:12" hidden="1">
      <c r="A535" s="170">
        <v>536</v>
      </c>
      <c r="B535" s="32"/>
      <c r="C535" s="171"/>
      <c r="D535" s="32" t="s">
        <v>24</v>
      </c>
      <c r="E535" s="32"/>
      <c r="F535" s="32"/>
      <c r="G535" s="32"/>
      <c r="H535" s="32"/>
      <c r="I535" s="171"/>
      <c r="J535" s="171"/>
      <c r="K535" s="32"/>
      <c r="L535" s="171"/>
    </row>
    <row r="536" spans="1:12" hidden="1">
      <c r="A536" s="170">
        <v>537</v>
      </c>
      <c r="B536" s="32"/>
      <c r="C536" s="171"/>
      <c r="D536" s="150" t="s">
        <v>24</v>
      </c>
      <c r="E536" s="32"/>
      <c r="F536" s="32"/>
      <c r="G536" s="32"/>
      <c r="H536" s="32"/>
      <c r="I536" s="171"/>
      <c r="J536" s="171"/>
      <c r="K536" s="32"/>
      <c r="L536" s="171"/>
    </row>
    <row r="537" spans="1:12" hidden="1">
      <c r="A537" s="170">
        <v>538</v>
      </c>
      <c r="B537" s="32"/>
      <c r="C537" s="171"/>
      <c r="D537" s="32" t="s">
        <v>24</v>
      </c>
      <c r="E537" s="32"/>
      <c r="F537" s="32"/>
      <c r="G537" s="32"/>
      <c r="H537" s="32"/>
      <c r="I537" s="171"/>
      <c r="J537" s="171"/>
      <c r="K537" s="32"/>
      <c r="L537" s="171"/>
    </row>
    <row r="538" spans="1:12" hidden="1">
      <c r="A538" s="170">
        <v>539</v>
      </c>
      <c r="B538" s="32"/>
      <c r="C538" s="171"/>
      <c r="D538" s="32" t="s">
        <v>24</v>
      </c>
      <c r="E538" s="32"/>
      <c r="F538" s="32"/>
      <c r="G538" s="32"/>
      <c r="H538" s="32"/>
      <c r="I538" s="171"/>
      <c r="J538" s="171"/>
      <c r="K538" s="32"/>
      <c r="L538" s="171"/>
    </row>
    <row r="539" spans="1:12" hidden="1">
      <c r="A539" s="170">
        <v>540</v>
      </c>
      <c r="B539" s="32"/>
      <c r="C539" s="171"/>
      <c r="D539" s="32" t="s">
        <v>24</v>
      </c>
      <c r="E539" s="32"/>
      <c r="F539" s="32"/>
      <c r="G539" s="32"/>
      <c r="H539" s="32"/>
      <c r="I539" s="171"/>
      <c r="J539" s="171"/>
      <c r="K539" s="32"/>
      <c r="L539" s="171"/>
    </row>
    <row r="540" spans="1:12" hidden="1">
      <c r="A540" s="170">
        <v>541</v>
      </c>
      <c r="B540" s="32"/>
      <c r="C540" s="171"/>
      <c r="D540" s="32" t="s">
        <v>24</v>
      </c>
      <c r="E540" s="32"/>
      <c r="F540" s="32"/>
      <c r="G540" s="32"/>
      <c r="H540" s="32"/>
      <c r="I540" s="171"/>
      <c r="J540" s="171"/>
      <c r="K540" s="32"/>
      <c r="L540" s="171"/>
    </row>
    <row r="541" spans="1:12" hidden="1">
      <c r="A541" s="170">
        <v>542</v>
      </c>
      <c r="B541" s="32"/>
      <c r="C541" s="171"/>
      <c r="D541" s="150" t="s">
        <v>24</v>
      </c>
      <c r="E541" s="32"/>
      <c r="F541" s="32"/>
      <c r="G541" s="32"/>
      <c r="H541" s="32"/>
      <c r="I541" s="171"/>
      <c r="J541" s="171"/>
      <c r="K541" s="32"/>
      <c r="L541" s="171"/>
    </row>
    <row r="542" spans="1:12" hidden="1">
      <c r="A542" s="170">
        <v>543</v>
      </c>
      <c r="B542" s="32"/>
      <c r="C542" s="171"/>
      <c r="D542" s="32" t="s">
        <v>24</v>
      </c>
      <c r="E542" s="32"/>
      <c r="F542" s="32"/>
      <c r="G542" s="32"/>
      <c r="H542" s="32"/>
      <c r="I542" s="171"/>
      <c r="J542" s="171"/>
      <c r="K542" s="32"/>
      <c r="L542" s="171"/>
    </row>
    <row r="543" spans="1:12" hidden="1">
      <c r="A543" s="170">
        <v>544</v>
      </c>
      <c r="B543" s="32"/>
      <c r="C543" s="171"/>
      <c r="D543" s="32" t="s">
        <v>24</v>
      </c>
      <c r="E543" s="32"/>
      <c r="F543" s="32"/>
      <c r="G543" s="32"/>
      <c r="H543" s="32"/>
      <c r="I543" s="171"/>
      <c r="J543" s="171"/>
      <c r="K543" s="32"/>
      <c r="L543" s="171"/>
    </row>
    <row r="544" spans="1:12" hidden="1">
      <c r="A544" s="170">
        <v>545</v>
      </c>
      <c r="B544" s="32"/>
      <c r="C544" s="171"/>
      <c r="D544" s="32" t="s">
        <v>24</v>
      </c>
      <c r="E544" s="32"/>
      <c r="F544" s="32"/>
      <c r="G544" s="32"/>
      <c r="H544" s="32"/>
      <c r="I544" s="171"/>
      <c r="J544" s="171"/>
      <c r="K544" s="32"/>
      <c r="L544" s="171"/>
    </row>
    <row r="545" spans="1:12" hidden="1">
      <c r="A545" s="170">
        <v>546</v>
      </c>
      <c r="B545" s="32"/>
      <c r="C545" s="171"/>
      <c r="D545" s="32" t="s">
        <v>24</v>
      </c>
      <c r="E545" s="32"/>
      <c r="F545" s="32"/>
      <c r="G545" s="32"/>
      <c r="H545" s="32"/>
      <c r="I545" s="171"/>
      <c r="J545" s="171"/>
      <c r="K545" s="32"/>
      <c r="L545" s="171"/>
    </row>
    <row r="546" spans="1:12" hidden="1">
      <c r="A546" s="170">
        <v>547</v>
      </c>
      <c r="B546" s="32"/>
      <c r="C546" s="171"/>
      <c r="D546" s="150" t="s">
        <v>24</v>
      </c>
      <c r="E546" s="32"/>
      <c r="F546" s="32"/>
      <c r="G546" s="32"/>
      <c r="H546" s="32"/>
      <c r="I546" s="171"/>
      <c r="J546" s="171"/>
      <c r="K546" s="32"/>
      <c r="L546" s="171"/>
    </row>
    <row r="547" spans="1:12" hidden="1">
      <c r="A547" s="170">
        <v>548</v>
      </c>
      <c r="B547" s="32"/>
      <c r="C547" s="171"/>
      <c r="D547" s="32" t="s">
        <v>24</v>
      </c>
      <c r="E547" s="32"/>
      <c r="F547" s="32"/>
      <c r="G547" s="32"/>
      <c r="H547" s="32"/>
      <c r="I547" s="171"/>
      <c r="J547" s="171"/>
      <c r="K547" s="32"/>
      <c r="L547" s="171"/>
    </row>
    <row r="548" spans="1:12" hidden="1">
      <c r="A548" s="170">
        <v>549</v>
      </c>
      <c r="B548" s="32"/>
      <c r="C548" s="171"/>
      <c r="D548" s="32" t="s">
        <v>24</v>
      </c>
      <c r="E548" s="32"/>
      <c r="F548" s="32"/>
      <c r="G548" s="32"/>
      <c r="H548" s="32"/>
      <c r="I548" s="171"/>
      <c r="J548" s="171"/>
      <c r="K548" s="32"/>
      <c r="L548" s="171"/>
    </row>
    <row r="549" spans="1:12" hidden="1">
      <c r="A549" s="170">
        <v>550</v>
      </c>
      <c r="B549" s="32"/>
      <c r="C549" s="171"/>
      <c r="D549" s="32" t="s">
        <v>24</v>
      </c>
      <c r="E549" s="32"/>
      <c r="F549" s="32"/>
      <c r="G549" s="32"/>
      <c r="H549" s="32"/>
      <c r="I549" s="171"/>
      <c r="J549" s="171"/>
      <c r="K549" s="32"/>
      <c r="L549" s="171"/>
    </row>
    <row r="550" spans="1:12" hidden="1">
      <c r="A550" s="170">
        <v>551</v>
      </c>
      <c r="B550" s="32"/>
      <c r="C550" s="171"/>
      <c r="D550" s="32" t="s">
        <v>24</v>
      </c>
      <c r="E550" s="32"/>
      <c r="F550" s="32"/>
      <c r="G550" s="32"/>
      <c r="H550" s="32"/>
      <c r="I550" s="171"/>
      <c r="J550" s="171"/>
      <c r="K550" s="32"/>
      <c r="L550" s="171"/>
    </row>
    <row r="551" spans="1:12" hidden="1">
      <c r="A551" s="170">
        <v>552</v>
      </c>
      <c r="B551" s="32"/>
      <c r="C551" s="171"/>
      <c r="D551" s="150" t="s">
        <v>24</v>
      </c>
      <c r="E551" s="32"/>
      <c r="F551" s="32"/>
      <c r="G551" s="32"/>
      <c r="H551" s="32"/>
      <c r="I551" s="171"/>
      <c r="J551" s="171"/>
      <c r="K551" s="32"/>
      <c r="L551" s="171"/>
    </row>
    <row r="552" spans="1:12" hidden="1">
      <c r="A552" s="170">
        <v>553</v>
      </c>
      <c r="B552" s="32"/>
      <c r="C552" s="171"/>
      <c r="D552" s="32" t="s">
        <v>24</v>
      </c>
      <c r="E552" s="32"/>
      <c r="F552" s="32"/>
      <c r="G552" s="32"/>
      <c r="H552" s="32"/>
      <c r="I552" s="171"/>
      <c r="J552" s="171"/>
      <c r="K552" s="32"/>
      <c r="L552" s="171"/>
    </row>
    <row r="553" spans="1:12" hidden="1">
      <c r="A553" s="170">
        <v>554</v>
      </c>
      <c r="B553" s="32"/>
      <c r="C553" s="171"/>
      <c r="D553" s="32" t="s">
        <v>24</v>
      </c>
      <c r="E553" s="32"/>
      <c r="F553" s="32"/>
      <c r="G553" s="32"/>
      <c r="H553" s="32"/>
      <c r="I553" s="171"/>
      <c r="J553" s="171"/>
      <c r="K553" s="32"/>
      <c r="L553" s="171"/>
    </row>
    <row r="554" spans="1:12" hidden="1">
      <c r="A554" s="170">
        <v>555</v>
      </c>
      <c r="B554" s="32"/>
      <c r="C554" s="171"/>
      <c r="D554" s="32" t="s">
        <v>24</v>
      </c>
      <c r="E554" s="32"/>
      <c r="F554" s="32"/>
      <c r="G554" s="32"/>
      <c r="H554" s="32"/>
      <c r="I554" s="171"/>
      <c r="J554" s="171"/>
      <c r="K554" s="32"/>
      <c r="L554" s="171"/>
    </row>
    <row r="555" spans="1:12" hidden="1">
      <c r="A555" s="170">
        <v>556</v>
      </c>
      <c r="B555" s="32"/>
      <c r="C555" s="171"/>
      <c r="D555" s="32" t="s">
        <v>24</v>
      </c>
      <c r="E555" s="32"/>
      <c r="F555" s="32"/>
      <c r="G555" s="32"/>
      <c r="H555" s="32"/>
      <c r="I555" s="171"/>
      <c r="J555" s="171"/>
      <c r="K555" s="32"/>
      <c r="L555" s="171"/>
    </row>
    <row r="556" spans="1:12" hidden="1">
      <c r="A556" s="170">
        <v>557</v>
      </c>
      <c r="B556" s="32"/>
      <c r="C556" s="171"/>
      <c r="D556" s="150" t="s">
        <v>24</v>
      </c>
      <c r="E556" s="32"/>
      <c r="F556" s="32"/>
      <c r="G556" s="32"/>
      <c r="H556" s="32"/>
      <c r="I556" s="171"/>
      <c r="J556" s="171"/>
      <c r="K556" s="32"/>
      <c r="L556" s="171"/>
    </row>
    <row r="557" spans="1:12" hidden="1">
      <c r="A557" s="170">
        <v>558</v>
      </c>
      <c r="B557" s="32"/>
      <c r="C557" s="171"/>
      <c r="D557" s="32" t="s">
        <v>24</v>
      </c>
      <c r="E557" s="32"/>
      <c r="F557" s="32"/>
      <c r="G557" s="32"/>
      <c r="H557" s="32"/>
      <c r="I557" s="171"/>
      <c r="J557" s="171"/>
      <c r="K557" s="32"/>
      <c r="L557" s="171"/>
    </row>
    <row r="558" spans="1:12" hidden="1">
      <c r="A558" s="170">
        <v>559</v>
      </c>
      <c r="B558" s="32"/>
      <c r="C558" s="171"/>
      <c r="D558" s="32" t="s">
        <v>24</v>
      </c>
      <c r="E558" s="32"/>
      <c r="F558" s="32"/>
      <c r="G558" s="32"/>
      <c r="H558" s="32"/>
      <c r="I558" s="171"/>
      <c r="J558" s="171"/>
      <c r="K558" s="32"/>
      <c r="L558" s="171"/>
    </row>
    <row r="559" spans="1:12" hidden="1">
      <c r="A559" s="170">
        <v>560</v>
      </c>
      <c r="B559" s="32"/>
      <c r="C559" s="171"/>
      <c r="D559" s="32" t="s">
        <v>24</v>
      </c>
      <c r="E559" s="32"/>
      <c r="F559" s="32"/>
      <c r="G559" s="32"/>
      <c r="H559" s="32"/>
      <c r="I559" s="171"/>
      <c r="J559" s="171"/>
      <c r="K559" s="32"/>
      <c r="L559" s="171"/>
    </row>
    <row r="560" spans="1:12" hidden="1">
      <c r="A560" s="170">
        <v>561</v>
      </c>
      <c r="B560" s="32"/>
      <c r="C560" s="171"/>
      <c r="D560" s="32" t="s">
        <v>24</v>
      </c>
      <c r="E560" s="32"/>
      <c r="F560" s="32"/>
      <c r="G560" s="32"/>
      <c r="H560" s="32"/>
      <c r="I560" s="171"/>
      <c r="J560" s="171"/>
      <c r="K560" s="32"/>
      <c r="L560" s="171"/>
    </row>
    <row r="561" spans="1:12" hidden="1">
      <c r="A561" s="170">
        <v>562</v>
      </c>
      <c r="B561" s="32"/>
      <c r="C561" s="171"/>
      <c r="D561" s="150" t="s">
        <v>24</v>
      </c>
      <c r="E561" s="32"/>
      <c r="F561" s="32"/>
      <c r="G561" s="32"/>
      <c r="H561" s="32"/>
      <c r="I561" s="171"/>
      <c r="J561" s="171"/>
      <c r="K561" s="32"/>
      <c r="L561" s="171"/>
    </row>
    <row r="562" spans="1:12" hidden="1">
      <c r="A562" s="170">
        <v>563</v>
      </c>
      <c r="B562" s="32"/>
      <c r="C562" s="171"/>
      <c r="D562" s="32" t="s">
        <v>24</v>
      </c>
      <c r="E562" s="32"/>
      <c r="F562" s="32"/>
      <c r="G562" s="32"/>
      <c r="H562" s="32"/>
      <c r="I562" s="171"/>
      <c r="J562" s="171"/>
      <c r="K562" s="32"/>
      <c r="L562" s="171"/>
    </row>
    <row r="563" spans="1:12" hidden="1">
      <c r="A563" s="170">
        <v>564</v>
      </c>
      <c r="B563" s="32"/>
      <c r="C563" s="171"/>
      <c r="D563" s="32" t="s">
        <v>24</v>
      </c>
      <c r="E563" s="32"/>
      <c r="F563" s="32"/>
      <c r="G563" s="32"/>
      <c r="H563" s="32"/>
      <c r="I563" s="171"/>
      <c r="J563" s="171"/>
      <c r="K563" s="32"/>
      <c r="L563" s="171"/>
    </row>
    <row r="564" spans="1:12" hidden="1">
      <c r="A564" s="170">
        <v>565</v>
      </c>
      <c r="B564" s="32"/>
      <c r="C564" s="171"/>
      <c r="D564" s="32" t="s">
        <v>24</v>
      </c>
      <c r="E564" s="32"/>
      <c r="F564" s="32"/>
      <c r="G564" s="32"/>
      <c r="H564" s="32"/>
      <c r="I564" s="171"/>
      <c r="J564" s="171"/>
      <c r="K564" s="32"/>
      <c r="L564" s="171"/>
    </row>
    <row r="565" spans="1:12" hidden="1">
      <c r="A565" s="170">
        <v>566</v>
      </c>
      <c r="B565" s="32"/>
      <c r="C565" s="171"/>
      <c r="D565" s="32" t="s">
        <v>24</v>
      </c>
      <c r="E565" s="32"/>
      <c r="F565" s="32"/>
      <c r="G565" s="32"/>
      <c r="H565" s="32"/>
      <c r="I565" s="171"/>
      <c r="J565" s="171"/>
      <c r="K565" s="32"/>
      <c r="L565" s="171"/>
    </row>
    <row r="566" spans="1:12" hidden="1">
      <c r="A566" s="170">
        <v>567</v>
      </c>
      <c r="B566" s="32"/>
      <c r="C566" s="171"/>
      <c r="D566" s="150" t="s">
        <v>24</v>
      </c>
      <c r="E566" s="32"/>
      <c r="F566" s="32"/>
      <c r="G566" s="32"/>
      <c r="H566" s="32"/>
      <c r="I566" s="171"/>
      <c r="J566" s="171"/>
      <c r="K566" s="32"/>
      <c r="L566" s="171"/>
    </row>
    <row r="567" spans="1:12" hidden="1">
      <c r="A567" s="170">
        <v>568</v>
      </c>
      <c r="B567" s="32"/>
      <c r="C567" s="171"/>
      <c r="D567" s="32" t="s">
        <v>24</v>
      </c>
      <c r="E567" s="32"/>
      <c r="F567" s="32"/>
      <c r="G567" s="32"/>
      <c r="H567" s="32"/>
      <c r="I567" s="171"/>
      <c r="J567" s="171"/>
      <c r="K567" s="32"/>
      <c r="L567" s="171"/>
    </row>
    <row r="568" spans="1:12" hidden="1">
      <c r="A568" s="170">
        <v>569</v>
      </c>
      <c r="B568" s="32"/>
      <c r="C568" s="171"/>
      <c r="D568" s="32" t="s">
        <v>24</v>
      </c>
      <c r="E568" s="32"/>
      <c r="F568" s="32"/>
      <c r="G568" s="32"/>
      <c r="H568" s="32"/>
      <c r="I568" s="171"/>
      <c r="J568" s="171"/>
      <c r="K568" s="32"/>
      <c r="L568" s="171"/>
    </row>
    <row r="569" spans="1:12" hidden="1">
      <c r="A569" s="170">
        <v>570</v>
      </c>
      <c r="B569" s="32"/>
      <c r="C569" s="171"/>
      <c r="D569" s="32" t="s">
        <v>24</v>
      </c>
      <c r="E569" s="32"/>
      <c r="F569" s="32"/>
      <c r="G569" s="32"/>
      <c r="H569" s="32"/>
      <c r="I569" s="171"/>
      <c r="J569" s="171"/>
      <c r="K569" s="32"/>
      <c r="L569" s="171"/>
    </row>
    <row r="570" spans="1:12" hidden="1">
      <c r="A570" s="170">
        <v>571</v>
      </c>
      <c r="B570" s="32"/>
      <c r="C570" s="171"/>
      <c r="D570" s="32" t="s">
        <v>24</v>
      </c>
      <c r="E570" s="32"/>
      <c r="F570" s="32"/>
      <c r="G570" s="32"/>
      <c r="H570" s="32"/>
      <c r="I570" s="171"/>
      <c r="J570" s="171"/>
      <c r="K570" s="32"/>
      <c r="L570" s="171"/>
    </row>
    <row r="571" spans="1:12" hidden="1">
      <c r="A571" s="170">
        <v>572</v>
      </c>
      <c r="B571" s="32"/>
      <c r="C571" s="171"/>
      <c r="D571" s="150" t="s">
        <v>24</v>
      </c>
      <c r="E571" s="32"/>
      <c r="F571" s="32"/>
      <c r="G571" s="32"/>
      <c r="H571" s="32"/>
      <c r="I571" s="171"/>
      <c r="J571" s="171"/>
      <c r="K571" s="32"/>
      <c r="L571" s="171"/>
    </row>
    <row r="572" spans="1:12" hidden="1">
      <c r="A572" s="170">
        <v>573</v>
      </c>
      <c r="B572" s="32"/>
      <c r="C572" s="171"/>
      <c r="D572" s="32" t="s">
        <v>24</v>
      </c>
      <c r="E572" s="32"/>
      <c r="F572" s="32"/>
      <c r="G572" s="32"/>
      <c r="H572" s="32"/>
      <c r="I572" s="171"/>
      <c r="J572" s="171"/>
      <c r="K572" s="32"/>
      <c r="L572" s="171"/>
    </row>
    <row r="573" spans="1:12" hidden="1">
      <c r="A573" s="170">
        <v>574</v>
      </c>
      <c r="B573" s="32"/>
      <c r="C573" s="171"/>
      <c r="D573" s="32" t="s">
        <v>24</v>
      </c>
      <c r="E573" s="32"/>
      <c r="F573" s="32"/>
      <c r="G573" s="32"/>
      <c r="H573" s="32"/>
      <c r="I573" s="171"/>
      <c r="J573" s="171"/>
      <c r="K573" s="32"/>
      <c r="L573" s="171"/>
    </row>
    <row r="574" spans="1:12" hidden="1">
      <c r="A574" s="170">
        <v>575</v>
      </c>
      <c r="B574" s="32"/>
      <c r="C574" s="171"/>
      <c r="D574" s="32" t="s">
        <v>24</v>
      </c>
      <c r="E574" s="32"/>
      <c r="F574" s="32"/>
      <c r="G574" s="32"/>
      <c r="H574" s="32"/>
      <c r="I574" s="171"/>
      <c r="J574" s="171"/>
      <c r="K574" s="32"/>
      <c r="L574" s="171"/>
    </row>
    <row r="575" spans="1:12" hidden="1">
      <c r="A575" s="170">
        <v>576</v>
      </c>
      <c r="B575" s="32"/>
      <c r="C575" s="171"/>
      <c r="D575" s="32" t="s">
        <v>24</v>
      </c>
      <c r="E575" s="32"/>
      <c r="F575" s="32"/>
      <c r="G575" s="32"/>
      <c r="H575" s="32"/>
      <c r="I575" s="171"/>
      <c r="J575" s="171"/>
      <c r="K575" s="32"/>
      <c r="L575" s="171"/>
    </row>
    <row r="576" spans="1:12" hidden="1">
      <c r="A576" s="170">
        <v>577</v>
      </c>
      <c r="B576" s="32"/>
      <c r="C576" s="171"/>
      <c r="D576" s="150" t="s">
        <v>24</v>
      </c>
      <c r="E576" s="32"/>
      <c r="F576" s="32"/>
      <c r="G576" s="32"/>
      <c r="H576" s="32"/>
      <c r="I576" s="171"/>
      <c r="J576" s="171"/>
      <c r="K576" s="32"/>
      <c r="L576" s="171"/>
    </row>
    <row r="577" spans="1:12" hidden="1">
      <c r="A577" s="170">
        <v>578</v>
      </c>
      <c r="B577" s="32"/>
      <c r="C577" s="171"/>
      <c r="D577" s="32" t="s">
        <v>24</v>
      </c>
      <c r="E577" s="32"/>
      <c r="F577" s="32"/>
      <c r="G577" s="32"/>
      <c r="H577" s="32"/>
      <c r="I577" s="171"/>
      <c r="J577" s="171"/>
      <c r="K577" s="32"/>
      <c r="L577" s="171"/>
    </row>
    <row r="578" spans="1:12" hidden="1">
      <c r="A578" s="170">
        <v>579</v>
      </c>
      <c r="B578" s="32"/>
      <c r="C578" s="171"/>
      <c r="D578" s="32" t="s">
        <v>24</v>
      </c>
      <c r="E578" s="32"/>
      <c r="F578" s="32"/>
      <c r="G578" s="32"/>
      <c r="H578" s="32"/>
      <c r="I578" s="171"/>
      <c r="J578" s="171"/>
      <c r="K578" s="32"/>
      <c r="L578" s="171"/>
    </row>
    <row r="579" spans="1:12" hidden="1">
      <c r="A579" s="170">
        <v>580</v>
      </c>
      <c r="B579" s="32"/>
      <c r="C579" s="171"/>
      <c r="D579" s="32" t="s">
        <v>24</v>
      </c>
      <c r="E579" s="32"/>
      <c r="F579" s="32"/>
      <c r="G579" s="32"/>
      <c r="H579" s="32"/>
      <c r="I579" s="171"/>
      <c r="J579" s="171"/>
      <c r="K579" s="32"/>
      <c r="L579" s="171"/>
    </row>
    <row r="580" spans="1:12" hidden="1">
      <c r="A580" s="170">
        <v>581</v>
      </c>
      <c r="B580" s="32"/>
      <c r="C580" s="171"/>
      <c r="D580" s="32" t="s">
        <v>24</v>
      </c>
      <c r="E580" s="32"/>
      <c r="F580" s="32"/>
      <c r="G580" s="32"/>
      <c r="H580" s="32"/>
      <c r="I580" s="171"/>
      <c r="J580" s="171"/>
      <c r="K580" s="32"/>
      <c r="L580" s="171"/>
    </row>
    <row r="581" spans="1:12" hidden="1">
      <c r="A581" s="170">
        <v>582</v>
      </c>
      <c r="B581" s="32"/>
      <c r="C581" s="171"/>
      <c r="D581" s="150" t="s">
        <v>24</v>
      </c>
      <c r="E581" s="32"/>
      <c r="F581" s="32"/>
      <c r="G581" s="32"/>
      <c r="H581" s="32"/>
      <c r="I581" s="171"/>
      <c r="J581" s="171"/>
      <c r="K581" s="32"/>
      <c r="L581" s="171"/>
    </row>
    <row r="582" spans="1:12" hidden="1">
      <c r="A582" s="170">
        <v>583</v>
      </c>
      <c r="B582" s="32"/>
      <c r="C582" s="171"/>
      <c r="D582" s="32" t="s">
        <v>24</v>
      </c>
      <c r="E582" s="32"/>
      <c r="F582" s="32"/>
      <c r="G582" s="32"/>
      <c r="H582" s="32"/>
      <c r="I582" s="171"/>
      <c r="J582" s="171"/>
      <c r="K582" s="32"/>
      <c r="L582" s="171"/>
    </row>
    <row r="583" spans="1:12" hidden="1">
      <c r="A583" s="170">
        <v>584</v>
      </c>
      <c r="B583" s="32"/>
      <c r="C583" s="171"/>
      <c r="D583" s="32" t="s">
        <v>24</v>
      </c>
      <c r="E583" s="32"/>
      <c r="F583" s="32"/>
      <c r="G583" s="32"/>
      <c r="H583" s="32"/>
      <c r="I583" s="171"/>
      <c r="J583" s="171"/>
      <c r="K583" s="32"/>
      <c r="L583" s="171"/>
    </row>
    <row r="584" spans="1:12" hidden="1">
      <c r="A584" s="170">
        <v>585</v>
      </c>
      <c r="B584" s="32"/>
      <c r="C584" s="171"/>
      <c r="D584" s="32" t="s">
        <v>24</v>
      </c>
      <c r="E584" s="32"/>
      <c r="F584" s="32"/>
      <c r="G584" s="32"/>
      <c r="H584" s="32"/>
      <c r="I584" s="171"/>
      <c r="J584" s="171"/>
      <c r="K584" s="32"/>
      <c r="L584" s="171"/>
    </row>
    <row r="585" spans="1:12" hidden="1">
      <c r="A585" s="170">
        <v>586</v>
      </c>
      <c r="B585" s="32"/>
      <c r="C585" s="171"/>
      <c r="D585" s="32" t="s">
        <v>24</v>
      </c>
      <c r="E585" s="32"/>
      <c r="F585" s="32"/>
      <c r="G585" s="32"/>
      <c r="H585" s="32"/>
      <c r="I585" s="171"/>
      <c r="J585" s="171"/>
      <c r="K585" s="32"/>
      <c r="L585" s="171"/>
    </row>
    <row r="586" spans="1:12" hidden="1">
      <c r="A586" s="170">
        <v>587</v>
      </c>
      <c r="B586" s="32"/>
      <c r="C586" s="171"/>
      <c r="D586" s="150" t="s">
        <v>24</v>
      </c>
      <c r="E586" s="32"/>
      <c r="F586" s="32"/>
      <c r="G586" s="32"/>
      <c r="H586" s="32"/>
      <c r="I586" s="171"/>
      <c r="J586" s="171"/>
      <c r="K586" s="32"/>
      <c r="L586" s="171"/>
    </row>
    <row r="587" spans="1:12" hidden="1">
      <c r="A587" s="170">
        <v>588</v>
      </c>
      <c r="B587" s="32"/>
      <c r="C587" s="171"/>
      <c r="D587" s="32" t="s">
        <v>24</v>
      </c>
      <c r="E587" s="32"/>
      <c r="F587" s="32"/>
      <c r="G587" s="32"/>
      <c r="H587" s="32"/>
      <c r="I587" s="171"/>
      <c r="J587" s="171"/>
      <c r="K587" s="32"/>
      <c r="L587" s="171"/>
    </row>
    <row r="588" spans="1:12" hidden="1">
      <c r="A588" s="170">
        <v>589</v>
      </c>
      <c r="B588" s="32"/>
      <c r="C588" s="171"/>
      <c r="D588" s="32" t="s">
        <v>24</v>
      </c>
      <c r="E588" s="32"/>
      <c r="F588" s="32"/>
      <c r="G588" s="32"/>
      <c r="H588" s="32"/>
      <c r="I588" s="171"/>
      <c r="J588" s="171"/>
      <c r="K588" s="32"/>
      <c r="L588" s="171"/>
    </row>
    <row r="589" spans="1:12" hidden="1">
      <c r="A589" s="170">
        <v>590</v>
      </c>
      <c r="B589" s="32"/>
      <c r="C589" s="171"/>
      <c r="D589" s="32" t="s">
        <v>24</v>
      </c>
      <c r="E589" s="32"/>
      <c r="F589" s="32"/>
      <c r="G589" s="32"/>
      <c r="H589" s="32"/>
      <c r="I589" s="171"/>
      <c r="J589" s="171"/>
      <c r="K589" s="32"/>
      <c r="L589" s="171"/>
    </row>
    <row r="590" spans="1:12" hidden="1">
      <c r="A590" s="170">
        <v>591</v>
      </c>
      <c r="B590" s="32"/>
      <c r="C590" s="171"/>
      <c r="D590" s="32" t="s">
        <v>24</v>
      </c>
      <c r="E590" s="32"/>
      <c r="F590" s="32"/>
      <c r="G590" s="32"/>
      <c r="H590" s="32"/>
      <c r="I590" s="171"/>
      <c r="J590" s="171"/>
      <c r="K590" s="32"/>
      <c r="L590" s="171"/>
    </row>
    <row r="591" spans="1:12" hidden="1">
      <c r="A591" s="170">
        <v>592</v>
      </c>
      <c r="B591" s="32"/>
      <c r="C591" s="171"/>
      <c r="D591" s="150" t="s">
        <v>24</v>
      </c>
      <c r="E591" s="32"/>
      <c r="F591" s="32"/>
      <c r="G591" s="32"/>
      <c r="H591" s="32"/>
      <c r="I591" s="171"/>
      <c r="J591" s="171"/>
      <c r="K591" s="32"/>
      <c r="L591" s="171"/>
    </row>
    <row r="592" spans="1:12" hidden="1">
      <c r="A592" s="170">
        <v>593</v>
      </c>
      <c r="B592" s="32"/>
      <c r="C592" s="171"/>
      <c r="D592" s="32" t="s">
        <v>24</v>
      </c>
      <c r="E592" s="32"/>
      <c r="F592" s="32"/>
      <c r="G592" s="32"/>
      <c r="H592" s="32"/>
      <c r="I592" s="171"/>
      <c r="J592" s="171"/>
      <c r="K592" s="32"/>
      <c r="L592" s="171"/>
    </row>
    <row r="593" spans="1:12" hidden="1">
      <c r="A593" s="170">
        <v>594</v>
      </c>
      <c r="B593" s="32"/>
      <c r="C593" s="171"/>
      <c r="D593" s="32" t="s">
        <v>24</v>
      </c>
      <c r="E593" s="32"/>
      <c r="F593" s="32"/>
      <c r="G593" s="32"/>
      <c r="H593" s="32"/>
      <c r="I593" s="171"/>
      <c r="J593" s="171"/>
      <c r="K593" s="32"/>
      <c r="L593" s="171"/>
    </row>
    <row r="594" spans="1:12" hidden="1">
      <c r="A594" s="170">
        <v>595</v>
      </c>
      <c r="B594" s="32"/>
      <c r="C594" s="171"/>
      <c r="D594" s="32" t="s">
        <v>24</v>
      </c>
      <c r="E594" s="32"/>
      <c r="F594" s="32"/>
      <c r="G594" s="32"/>
      <c r="H594" s="32"/>
      <c r="I594" s="171"/>
      <c r="J594" s="171"/>
      <c r="K594" s="32"/>
      <c r="L594" s="171"/>
    </row>
    <row r="595" spans="1:12" hidden="1">
      <c r="A595" s="170">
        <v>596</v>
      </c>
      <c r="B595" s="32"/>
      <c r="C595" s="171"/>
      <c r="D595" s="32" t="s">
        <v>24</v>
      </c>
      <c r="E595" s="32"/>
      <c r="F595" s="32"/>
      <c r="G595" s="32"/>
      <c r="H595" s="32"/>
      <c r="I595" s="171"/>
      <c r="J595" s="171"/>
      <c r="K595" s="32"/>
      <c r="L595" s="171"/>
    </row>
    <row r="596" spans="1:12" hidden="1">
      <c r="A596" s="170">
        <v>597</v>
      </c>
      <c r="B596" s="32"/>
      <c r="C596" s="171"/>
      <c r="D596" s="150" t="s">
        <v>24</v>
      </c>
      <c r="E596" s="32"/>
      <c r="F596" s="32"/>
      <c r="G596" s="32"/>
      <c r="H596" s="32"/>
      <c r="I596" s="171"/>
      <c r="J596" s="171"/>
      <c r="K596" s="32"/>
      <c r="L596" s="171"/>
    </row>
    <row r="597" spans="1:12" hidden="1">
      <c r="A597" s="170">
        <v>598</v>
      </c>
      <c r="B597" s="32"/>
      <c r="C597" s="171"/>
      <c r="D597" s="32" t="s">
        <v>24</v>
      </c>
      <c r="E597" s="32"/>
      <c r="F597" s="32"/>
      <c r="G597" s="32"/>
      <c r="H597" s="32"/>
      <c r="I597" s="171"/>
      <c r="J597" s="171"/>
      <c r="K597" s="32"/>
      <c r="L597" s="171"/>
    </row>
    <row r="598" spans="1:12" hidden="1">
      <c r="A598" s="170">
        <v>599</v>
      </c>
      <c r="B598" s="32"/>
      <c r="C598" s="171"/>
      <c r="D598" s="32" t="s">
        <v>24</v>
      </c>
      <c r="E598" s="32"/>
      <c r="F598" s="32"/>
      <c r="G598" s="32"/>
      <c r="H598" s="32"/>
      <c r="I598" s="171"/>
      <c r="J598" s="171"/>
      <c r="K598" s="32"/>
      <c r="L598" s="171"/>
    </row>
    <row r="599" spans="1:12" hidden="1">
      <c r="A599" s="170">
        <v>600</v>
      </c>
      <c r="B599" s="32"/>
      <c r="C599" s="171"/>
      <c r="D599" s="32" t="s">
        <v>24</v>
      </c>
      <c r="E599" s="32"/>
      <c r="F599" s="32"/>
      <c r="G599" s="32"/>
      <c r="H599" s="32"/>
      <c r="I599" s="171"/>
      <c r="J599" s="171"/>
      <c r="K599" s="32"/>
      <c r="L599" s="171"/>
    </row>
    <row r="600" spans="1:12" hidden="1">
      <c r="A600" s="170">
        <v>601</v>
      </c>
      <c r="B600" s="32"/>
      <c r="C600" s="171"/>
      <c r="D600" s="32" t="s">
        <v>24</v>
      </c>
      <c r="E600" s="32"/>
      <c r="F600" s="32"/>
      <c r="G600" s="32"/>
      <c r="H600" s="32"/>
      <c r="I600" s="171"/>
      <c r="J600" s="171"/>
      <c r="K600" s="32"/>
      <c r="L600" s="171"/>
    </row>
    <row r="601" spans="1:12" hidden="1">
      <c r="A601" s="170">
        <v>602</v>
      </c>
      <c r="B601" s="32"/>
      <c r="C601" s="171"/>
      <c r="D601" s="150" t="s">
        <v>24</v>
      </c>
      <c r="E601" s="32"/>
      <c r="F601" s="32"/>
      <c r="G601" s="32"/>
      <c r="H601" s="32"/>
      <c r="I601" s="171"/>
      <c r="J601" s="171"/>
      <c r="K601" s="32"/>
      <c r="L601" s="171"/>
    </row>
    <row r="602" spans="1:12" hidden="1">
      <c r="A602" s="170">
        <v>603</v>
      </c>
      <c r="B602" s="32"/>
      <c r="C602" s="171"/>
      <c r="D602" s="32" t="s">
        <v>24</v>
      </c>
      <c r="E602" s="32"/>
      <c r="F602" s="32"/>
      <c r="G602" s="32"/>
      <c r="H602" s="32"/>
      <c r="I602" s="171"/>
      <c r="J602" s="171"/>
      <c r="K602" s="32"/>
      <c r="L602" s="171"/>
    </row>
    <row r="603" spans="1:12" hidden="1">
      <c r="A603" s="170">
        <v>604</v>
      </c>
      <c r="B603" s="32"/>
      <c r="C603" s="171"/>
      <c r="D603" s="32" t="s">
        <v>24</v>
      </c>
      <c r="E603" s="32"/>
      <c r="F603" s="32"/>
      <c r="G603" s="32"/>
      <c r="H603" s="32"/>
      <c r="I603" s="171"/>
      <c r="J603" s="171"/>
      <c r="K603" s="32"/>
      <c r="L603" s="171"/>
    </row>
    <row r="604" spans="1:12" hidden="1">
      <c r="A604" s="170">
        <v>605</v>
      </c>
      <c r="B604" s="32"/>
      <c r="C604" s="171"/>
      <c r="D604" s="32" t="s">
        <v>24</v>
      </c>
      <c r="E604" s="32"/>
      <c r="F604" s="32"/>
      <c r="G604" s="32"/>
      <c r="H604" s="32"/>
      <c r="I604" s="171"/>
      <c r="J604" s="171"/>
      <c r="K604" s="32"/>
      <c r="L604" s="171"/>
    </row>
    <row r="605" spans="1:12" hidden="1">
      <c r="A605" s="170">
        <v>606</v>
      </c>
      <c r="B605" s="32"/>
      <c r="C605" s="171"/>
      <c r="D605" s="32" t="s">
        <v>24</v>
      </c>
      <c r="E605" s="32"/>
      <c r="F605" s="32"/>
      <c r="G605" s="32"/>
      <c r="H605" s="32"/>
      <c r="I605" s="171"/>
      <c r="J605" s="171"/>
      <c r="K605" s="32"/>
      <c r="L605" s="171"/>
    </row>
    <row r="606" spans="1:12" hidden="1">
      <c r="A606" s="170">
        <v>607</v>
      </c>
      <c r="B606" s="32"/>
      <c r="C606" s="171"/>
      <c r="D606" s="150" t="s">
        <v>24</v>
      </c>
      <c r="E606" s="32"/>
      <c r="F606" s="32"/>
      <c r="G606" s="32"/>
      <c r="H606" s="32"/>
      <c r="I606" s="171"/>
      <c r="J606" s="171"/>
      <c r="K606" s="32"/>
      <c r="L606" s="171"/>
    </row>
    <row r="607" spans="1:12" hidden="1">
      <c r="A607" s="170">
        <v>608</v>
      </c>
      <c r="B607" s="32"/>
      <c r="C607" s="171"/>
      <c r="D607" s="32" t="s">
        <v>24</v>
      </c>
      <c r="E607" s="32"/>
      <c r="F607" s="32"/>
      <c r="G607" s="32"/>
      <c r="H607" s="32"/>
      <c r="I607" s="171"/>
      <c r="J607" s="171"/>
      <c r="K607" s="32"/>
      <c r="L607" s="171"/>
    </row>
    <row r="608" spans="1:12" hidden="1">
      <c r="A608" s="170">
        <v>609</v>
      </c>
      <c r="B608" s="32"/>
      <c r="C608" s="171"/>
      <c r="D608" s="32" t="s">
        <v>24</v>
      </c>
      <c r="E608" s="32"/>
      <c r="F608" s="32"/>
      <c r="G608" s="32"/>
      <c r="H608" s="32"/>
      <c r="I608" s="171"/>
      <c r="J608" s="171"/>
      <c r="K608" s="32"/>
      <c r="L608" s="171"/>
    </row>
    <row r="609" spans="1:12" hidden="1">
      <c r="A609" s="170">
        <v>610</v>
      </c>
      <c r="B609" s="32"/>
      <c r="C609" s="171"/>
      <c r="D609" s="32" t="s">
        <v>24</v>
      </c>
      <c r="E609" s="32"/>
      <c r="F609" s="32"/>
      <c r="G609" s="32"/>
      <c r="H609" s="32"/>
      <c r="I609" s="171"/>
      <c r="J609" s="171"/>
      <c r="K609" s="32"/>
      <c r="L609" s="171"/>
    </row>
    <row r="610" spans="1:12" hidden="1">
      <c r="A610" s="170">
        <v>611</v>
      </c>
      <c r="B610" s="32"/>
      <c r="C610" s="171"/>
      <c r="D610" s="32" t="s">
        <v>24</v>
      </c>
      <c r="E610" s="32"/>
      <c r="F610" s="32"/>
      <c r="G610" s="32"/>
      <c r="H610" s="32"/>
      <c r="I610" s="171"/>
      <c r="J610" s="171"/>
      <c r="K610" s="32"/>
      <c r="L610" s="171"/>
    </row>
    <row r="611" spans="1:12" hidden="1">
      <c r="A611" s="170">
        <v>612</v>
      </c>
      <c r="B611" s="32"/>
      <c r="C611" s="171"/>
      <c r="D611" s="150" t="s">
        <v>24</v>
      </c>
      <c r="E611" s="32"/>
      <c r="F611" s="32"/>
      <c r="G611" s="32"/>
      <c r="H611" s="32"/>
      <c r="I611" s="171"/>
      <c r="J611" s="171"/>
      <c r="K611" s="32"/>
      <c r="L611" s="171"/>
    </row>
    <row r="612" spans="1:12" hidden="1">
      <c r="A612" s="170">
        <v>613</v>
      </c>
      <c r="B612" s="32"/>
      <c r="C612" s="171"/>
      <c r="D612" s="32" t="s">
        <v>24</v>
      </c>
      <c r="E612" s="32"/>
      <c r="F612" s="32"/>
      <c r="G612" s="32"/>
      <c r="H612" s="32"/>
      <c r="I612" s="171"/>
      <c r="J612" s="171"/>
      <c r="K612" s="32"/>
      <c r="L612" s="171"/>
    </row>
    <row r="613" spans="1:12" hidden="1">
      <c r="A613" s="170">
        <v>614</v>
      </c>
      <c r="B613" s="32"/>
      <c r="C613" s="171"/>
      <c r="D613" s="32" t="s">
        <v>24</v>
      </c>
      <c r="E613" s="32"/>
      <c r="F613" s="32"/>
      <c r="G613" s="32"/>
      <c r="H613" s="32"/>
      <c r="I613" s="171"/>
      <c r="J613" s="171"/>
      <c r="K613" s="32"/>
      <c r="L613" s="171"/>
    </row>
    <row r="614" spans="1:12" hidden="1">
      <c r="A614" s="170">
        <v>615</v>
      </c>
      <c r="B614" s="32"/>
      <c r="C614" s="171"/>
      <c r="D614" s="32" t="s">
        <v>24</v>
      </c>
      <c r="E614" s="32"/>
      <c r="F614" s="32"/>
      <c r="G614" s="32"/>
      <c r="H614" s="32"/>
      <c r="I614" s="171"/>
      <c r="J614" s="171"/>
      <c r="K614" s="32"/>
      <c r="L614" s="171"/>
    </row>
    <row r="615" spans="1:12" hidden="1">
      <c r="A615" s="170">
        <v>616</v>
      </c>
      <c r="B615" s="32"/>
      <c r="C615" s="171"/>
      <c r="D615" s="32" t="s">
        <v>24</v>
      </c>
      <c r="E615" s="32"/>
      <c r="F615" s="32"/>
      <c r="G615" s="32"/>
      <c r="H615" s="32"/>
      <c r="I615" s="171"/>
      <c r="J615" s="171"/>
      <c r="K615" s="32"/>
      <c r="L615" s="171"/>
    </row>
    <row r="616" spans="1:12" hidden="1">
      <c r="A616" s="170">
        <v>617</v>
      </c>
      <c r="B616" s="32"/>
      <c r="C616" s="171"/>
      <c r="D616" s="150" t="s">
        <v>24</v>
      </c>
      <c r="E616" s="32"/>
      <c r="F616" s="32"/>
      <c r="G616" s="32"/>
      <c r="H616" s="32"/>
      <c r="I616" s="171"/>
      <c r="J616" s="171"/>
      <c r="K616" s="32"/>
      <c r="L616" s="171"/>
    </row>
    <row r="617" spans="1:12" hidden="1">
      <c r="A617" s="170">
        <v>618</v>
      </c>
      <c r="B617" s="32"/>
      <c r="C617" s="171"/>
      <c r="D617" s="32" t="s">
        <v>24</v>
      </c>
      <c r="E617" s="32"/>
      <c r="F617" s="32"/>
      <c r="G617" s="32"/>
      <c r="H617" s="32"/>
      <c r="I617" s="171"/>
      <c r="J617" s="171"/>
      <c r="K617" s="32"/>
      <c r="L617" s="171"/>
    </row>
    <row r="618" spans="1:12" hidden="1">
      <c r="A618" s="170">
        <v>619</v>
      </c>
      <c r="B618" s="32"/>
      <c r="C618" s="171"/>
      <c r="D618" s="32" t="s">
        <v>24</v>
      </c>
      <c r="E618" s="32"/>
      <c r="F618" s="32"/>
      <c r="G618" s="32"/>
      <c r="H618" s="32"/>
      <c r="I618" s="171"/>
      <c r="J618" s="171"/>
      <c r="K618" s="32"/>
      <c r="L618" s="171"/>
    </row>
    <row r="619" spans="1:12" hidden="1">
      <c r="A619" s="170">
        <v>620</v>
      </c>
      <c r="B619" s="32"/>
      <c r="C619" s="171"/>
      <c r="D619" s="32" t="s">
        <v>24</v>
      </c>
      <c r="E619" s="32"/>
      <c r="F619" s="32"/>
      <c r="G619" s="32"/>
      <c r="H619" s="32"/>
      <c r="I619" s="171"/>
      <c r="J619" s="171"/>
      <c r="K619" s="32"/>
      <c r="L619" s="171"/>
    </row>
    <row r="620" spans="1:12" hidden="1">
      <c r="A620" s="170">
        <v>621</v>
      </c>
      <c r="B620" s="32"/>
      <c r="C620" s="171"/>
      <c r="D620" s="32" t="s">
        <v>24</v>
      </c>
      <c r="E620" s="32"/>
      <c r="F620" s="32"/>
      <c r="G620" s="32"/>
      <c r="H620" s="32"/>
      <c r="I620" s="171"/>
      <c r="J620" s="171"/>
      <c r="K620" s="32"/>
      <c r="L620" s="171"/>
    </row>
    <row r="621" spans="1:12" hidden="1">
      <c r="A621" s="170">
        <v>622</v>
      </c>
      <c r="B621" s="32"/>
      <c r="C621" s="171"/>
      <c r="D621" s="150" t="s">
        <v>24</v>
      </c>
      <c r="E621" s="32"/>
      <c r="F621" s="32"/>
      <c r="G621" s="32"/>
      <c r="H621" s="32"/>
      <c r="I621" s="171"/>
      <c r="J621" s="171"/>
      <c r="K621" s="32"/>
      <c r="L621" s="171"/>
    </row>
    <row r="622" spans="1:12" hidden="1">
      <c r="A622" s="170">
        <v>623</v>
      </c>
      <c r="B622" s="32"/>
      <c r="C622" s="171"/>
      <c r="D622" s="32" t="s">
        <v>24</v>
      </c>
      <c r="E622" s="32"/>
      <c r="F622" s="32"/>
      <c r="G622" s="32"/>
      <c r="H622" s="32"/>
      <c r="I622" s="171"/>
      <c r="J622" s="171"/>
      <c r="K622" s="32"/>
      <c r="L622" s="171"/>
    </row>
    <row r="623" spans="1:12" hidden="1">
      <c r="A623" s="170">
        <v>624</v>
      </c>
      <c r="B623" s="32"/>
      <c r="C623" s="171"/>
      <c r="D623" s="32" t="s">
        <v>24</v>
      </c>
      <c r="E623" s="32"/>
      <c r="F623" s="32"/>
      <c r="G623" s="32"/>
      <c r="H623" s="32"/>
      <c r="I623" s="171"/>
      <c r="J623" s="171"/>
      <c r="K623" s="32"/>
      <c r="L623" s="171"/>
    </row>
    <row r="624" spans="1:12" hidden="1">
      <c r="A624" s="170">
        <v>625</v>
      </c>
      <c r="B624" s="32"/>
      <c r="C624" s="171"/>
      <c r="D624" s="32" t="s">
        <v>24</v>
      </c>
      <c r="E624" s="32"/>
      <c r="F624" s="32"/>
      <c r="G624" s="32"/>
      <c r="H624" s="32"/>
      <c r="I624" s="171"/>
      <c r="J624" s="171"/>
      <c r="K624" s="32"/>
      <c r="L624" s="171"/>
    </row>
    <row r="625" spans="1:12" hidden="1">
      <c r="A625" s="170">
        <v>626</v>
      </c>
      <c r="B625" s="32"/>
      <c r="C625" s="171"/>
      <c r="D625" s="32" t="s">
        <v>24</v>
      </c>
      <c r="E625" s="32"/>
      <c r="F625" s="32"/>
      <c r="G625" s="32"/>
      <c r="H625" s="32"/>
      <c r="I625" s="171"/>
      <c r="J625" s="171"/>
      <c r="K625" s="32"/>
      <c r="L625" s="171"/>
    </row>
    <row r="626" spans="1:12" hidden="1">
      <c r="A626" s="170">
        <v>627</v>
      </c>
      <c r="B626" s="32"/>
      <c r="C626" s="171"/>
      <c r="D626" s="150" t="s">
        <v>24</v>
      </c>
      <c r="E626" s="32"/>
      <c r="F626" s="32"/>
      <c r="G626" s="32"/>
      <c r="H626" s="32"/>
      <c r="I626" s="171"/>
      <c r="J626" s="171"/>
      <c r="K626" s="32"/>
      <c r="L626" s="171"/>
    </row>
    <row r="627" spans="1:12" hidden="1">
      <c r="A627" s="170">
        <v>628</v>
      </c>
      <c r="B627" s="32"/>
      <c r="C627" s="171"/>
      <c r="D627" s="32" t="s">
        <v>24</v>
      </c>
      <c r="E627" s="32"/>
      <c r="F627" s="32"/>
      <c r="G627" s="32"/>
      <c r="H627" s="32"/>
      <c r="I627" s="171"/>
      <c r="J627" s="171"/>
      <c r="K627" s="32"/>
      <c r="L627" s="171"/>
    </row>
    <row r="628" spans="1:12" hidden="1">
      <c r="A628" s="170">
        <v>629</v>
      </c>
      <c r="B628" s="32"/>
      <c r="C628" s="171"/>
      <c r="D628" s="32" t="s">
        <v>24</v>
      </c>
      <c r="E628" s="32"/>
      <c r="F628" s="32"/>
      <c r="G628" s="32"/>
      <c r="H628" s="32"/>
      <c r="I628" s="171"/>
      <c r="J628" s="171"/>
      <c r="K628" s="32"/>
      <c r="L628" s="171"/>
    </row>
    <row r="629" spans="1:12" hidden="1">
      <c r="A629" s="170">
        <v>630</v>
      </c>
      <c r="B629" s="32"/>
      <c r="C629" s="171"/>
      <c r="D629" s="32" t="s">
        <v>24</v>
      </c>
      <c r="E629" s="32"/>
      <c r="F629" s="32"/>
      <c r="G629" s="32"/>
      <c r="H629" s="32"/>
      <c r="I629" s="171"/>
      <c r="J629" s="171"/>
      <c r="K629" s="32"/>
      <c r="L629" s="171"/>
    </row>
    <row r="630" spans="1:12" hidden="1">
      <c r="A630" s="170">
        <v>631</v>
      </c>
      <c r="B630" s="32"/>
      <c r="C630" s="171"/>
      <c r="D630" s="32" t="s">
        <v>24</v>
      </c>
      <c r="E630" s="32"/>
      <c r="F630" s="32"/>
      <c r="G630" s="32"/>
      <c r="H630" s="32"/>
      <c r="I630" s="171"/>
      <c r="J630" s="171"/>
      <c r="K630" s="32"/>
      <c r="L630" s="171"/>
    </row>
    <row r="631" spans="1:12" hidden="1">
      <c r="A631" s="170">
        <v>632</v>
      </c>
      <c r="B631" s="32"/>
      <c r="C631" s="171"/>
      <c r="D631" s="150" t="s">
        <v>24</v>
      </c>
      <c r="E631" s="32"/>
      <c r="F631" s="32"/>
      <c r="G631" s="32"/>
      <c r="H631" s="32"/>
      <c r="I631" s="171"/>
      <c r="J631" s="171"/>
      <c r="K631" s="32"/>
      <c r="L631" s="171"/>
    </row>
    <row r="632" spans="1:12" hidden="1">
      <c r="A632" s="170">
        <v>633</v>
      </c>
      <c r="B632" s="32"/>
      <c r="C632" s="171"/>
      <c r="D632" s="32" t="s">
        <v>24</v>
      </c>
      <c r="E632" s="32"/>
      <c r="F632" s="32"/>
      <c r="G632" s="32"/>
      <c r="H632" s="32"/>
      <c r="I632" s="171"/>
      <c r="J632" s="171"/>
      <c r="K632" s="32"/>
      <c r="L632" s="171"/>
    </row>
    <row r="633" spans="1:12" hidden="1">
      <c r="A633" s="170">
        <v>634</v>
      </c>
      <c r="B633" s="32"/>
      <c r="C633" s="171"/>
      <c r="D633" s="32" t="s">
        <v>24</v>
      </c>
      <c r="E633" s="32"/>
      <c r="F633" s="32"/>
      <c r="G633" s="32"/>
      <c r="H633" s="32"/>
      <c r="I633" s="171"/>
      <c r="J633" s="171"/>
      <c r="K633" s="32"/>
      <c r="L633" s="171"/>
    </row>
    <row r="634" spans="1:12" hidden="1">
      <c r="A634" s="170">
        <v>635</v>
      </c>
      <c r="B634" s="32"/>
      <c r="C634" s="171"/>
      <c r="D634" s="32" t="s">
        <v>24</v>
      </c>
      <c r="E634" s="32"/>
      <c r="F634" s="32"/>
      <c r="G634" s="32"/>
      <c r="H634" s="32"/>
      <c r="I634" s="171"/>
      <c r="J634" s="171"/>
      <c r="K634" s="32"/>
      <c r="L634" s="171"/>
    </row>
    <row r="635" spans="1:12" hidden="1">
      <c r="A635" s="170">
        <v>636</v>
      </c>
      <c r="B635" s="32"/>
      <c r="C635" s="171"/>
      <c r="D635" s="32" t="s">
        <v>24</v>
      </c>
      <c r="E635" s="32"/>
      <c r="F635" s="32"/>
      <c r="G635" s="32"/>
      <c r="H635" s="32"/>
      <c r="I635" s="171"/>
      <c r="J635" s="171"/>
      <c r="K635" s="32"/>
      <c r="L635" s="171"/>
    </row>
    <row r="636" spans="1:12" hidden="1">
      <c r="A636" s="170">
        <v>637</v>
      </c>
      <c r="B636" s="32"/>
      <c r="C636" s="171"/>
      <c r="D636" s="150" t="s">
        <v>24</v>
      </c>
      <c r="E636" s="32"/>
      <c r="F636" s="32"/>
      <c r="G636" s="32"/>
      <c r="H636" s="32"/>
      <c r="I636" s="171"/>
      <c r="J636" s="171"/>
      <c r="K636" s="32"/>
      <c r="L636" s="171"/>
    </row>
    <row r="637" spans="1:12" hidden="1">
      <c r="A637" s="170">
        <v>638</v>
      </c>
      <c r="B637" s="32"/>
      <c r="C637" s="171"/>
      <c r="D637" s="32" t="s">
        <v>24</v>
      </c>
      <c r="E637" s="32"/>
      <c r="F637" s="32"/>
      <c r="G637" s="32"/>
      <c r="H637" s="32"/>
      <c r="I637" s="171"/>
      <c r="J637" s="171"/>
      <c r="K637" s="32"/>
      <c r="L637" s="171"/>
    </row>
    <row r="638" spans="1:12" hidden="1">
      <c r="A638" s="170">
        <v>639</v>
      </c>
      <c r="B638" s="32"/>
      <c r="C638" s="171"/>
      <c r="D638" s="32" t="s">
        <v>24</v>
      </c>
      <c r="E638" s="32"/>
      <c r="F638" s="32"/>
      <c r="G638" s="32"/>
      <c r="H638" s="32"/>
      <c r="I638" s="171"/>
      <c r="J638" s="171"/>
      <c r="K638" s="32"/>
      <c r="L638" s="171"/>
    </row>
    <row r="639" spans="1:12" hidden="1">
      <c r="A639" s="170">
        <v>640</v>
      </c>
      <c r="B639" s="32"/>
      <c r="C639" s="171"/>
      <c r="D639" s="32" t="s">
        <v>24</v>
      </c>
      <c r="E639" s="32"/>
      <c r="F639" s="32"/>
      <c r="G639" s="32"/>
      <c r="H639" s="32"/>
      <c r="I639" s="171"/>
      <c r="J639" s="171"/>
      <c r="K639" s="32"/>
      <c r="L639" s="171"/>
    </row>
    <row r="640" spans="1:12" hidden="1">
      <c r="A640" s="170">
        <v>641</v>
      </c>
      <c r="B640" s="32"/>
      <c r="C640" s="171"/>
      <c r="D640" s="32" t="s">
        <v>24</v>
      </c>
      <c r="E640" s="32"/>
      <c r="F640" s="32"/>
      <c r="G640" s="32"/>
      <c r="H640" s="32"/>
      <c r="I640" s="171"/>
      <c r="J640" s="171"/>
      <c r="K640" s="32"/>
      <c r="L640" s="171"/>
    </row>
    <row r="641" spans="1:12" hidden="1">
      <c r="A641" s="170">
        <v>642</v>
      </c>
      <c r="B641" s="32"/>
      <c r="C641" s="171"/>
      <c r="D641" s="150" t="s">
        <v>24</v>
      </c>
      <c r="E641" s="32"/>
      <c r="F641" s="32"/>
      <c r="G641" s="32"/>
      <c r="H641" s="32"/>
      <c r="I641" s="171"/>
      <c r="J641" s="171"/>
      <c r="K641" s="32"/>
      <c r="L641" s="171"/>
    </row>
    <row r="642" spans="1:12" hidden="1">
      <c r="A642" s="170">
        <v>643</v>
      </c>
      <c r="B642" s="32"/>
      <c r="C642" s="171"/>
      <c r="D642" s="32" t="s">
        <v>24</v>
      </c>
      <c r="E642" s="32"/>
      <c r="F642" s="32"/>
      <c r="G642" s="32"/>
      <c r="H642" s="32"/>
      <c r="I642" s="171"/>
      <c r="J642" s="171"/>
      <c r="K642" s="32"/>
      <c r="L642" s="171"/>
    </row>
    <row r="643" spans="1:12" hidden="1">
      <c r="A643" s="170">
        <v>644</v>
      </c>
      <c r="B643" s="32"/>
      <c r="C643" s="171"/>
      <c r="D643" s="32" t="s">
        <v>24</v>
      </c>
      <c r="E643" s="32"/>
      <c r="F643" s="32"/>
      <c r="G643" s="32"/>
      <c r="H643" s="32"/>
      <c r="I643" s="171"/>
      <c r="J643" s="171"/>
      <c r="K643" s="32"/>
      <c r="L643" s="171"/>
    </row>
    <row r="644" spans="1:12" hidden="1">
      <c r="A644" s="170">
        <v>645</v>
      </c>
      <c r="B644" s="32"/>
      <c r="C644" s="171"/>
      <c r="D644" s="32" t="s">
        <v>24</v>
      </c>
      <c r="E644" s="32"/>
      <c r="F644" s="32"/>
      <c r="G644" s="32"/>
      <c r="H644" s="32"/>
      <c r="I644" s="171"/>
      <c r="J644" s="171"/>
      <c r="K644" s="32"/>
      <c r="L644" s="171"/>
    </row>
    <row r="645" spans="1:12" hidden="1">
      <c r="A645" s="170">
        <v>646</v>
      </c>
      <c r="B645" s="32"/>
      <c r="C645" s="171"/>
      <c r="D645" s="32" t="s">
        <v>24</v>
      </c>
      <c r="E645" s="32"/>
      <c r="F645" s="32"/>
      <c r="G645" s="32"/>
      <c r="H645" s="32"/>
      <c r="I645" s="171"/>
      <c r="J645" s="171"/>
      <c r="K645" s="32"/>
      <c r="L645" s="171"/>
    </row>
    <row r="646" spans="1:12" hidden="1">
      <c r="A646" s="170">
        <v>647</v>
      </c>
      <c r="B646" s="32"/>
      <c r="C646" s="171"/>
      <c r="D646" s="150" t="s">
        <v>24</v>
      </c>
      <c r="E646" s="32"/>
      <c r="F646" s="32"/>
      <c r="G646" s="32"/>
      <c r="H646" s="32"/>
      <c r="I646" s="171"/>
      <c r="J646" s="171"/>
      <c r="K646" s="32"/>
      <c r="L646" s="171"/>
    </row>
    <row r="647" spans="1:12" hidden="1">
      <c r="A647" s="170">
        <v>648</v>
      </c>
      <c r="B647" s="32"/>
      <c r="C647" s="171"/>
      <c r="D647" s="32" t="s">
        <v>24</v>
      </c>
      <c r="E647" s="32"/>
      <c r="F647" s="32"/>
      <c r="G647" s="32"/>
      <c r="H647" s="32"/>
      <c r="I647" s="171"/>
      <c r="J647" s="171"/>
      <c r="K647" s="32"/>
      <c r="L647" s="171"/>
    </row>
    <row r="648" spans="1:12" hidden="1">
      <c r="A648" s="170">
        <v>649</v>
      </c>
      <c r="B648" s="32"/>
      <c r="C648" s="171"/>
      <c r="D648" s="32" t="s">
        <v>24</v>
      </c>
      <c r="E648" s="32"/>
      <c r="F648" s="32"/>
      <c r="G648" s="32"/>
      <c r="H648" s="32"/>
      <c r="I648" s="171"/>
      <c r="J648" s="171"/>
      <c r="K648" s="32"/>
      <c r="L648" s="171"/>
    </row>
    <row r="649" spans="1:12" hidden="1">
      <c r="A649" s="170">
        <v>650</v>
      </c>
      <c r="B649" s="32"/>
      <c r="C649" s="171"/>
      <c r="D649" s="32" t="s">
        <v>24</v>
      </c>
      <c r="E649" s="32"/>
      <c r="F649" s="32"/>
      <c r="G649" s="32"/>
      <c r="H649" s="32"/>
      <c r="I649" s="171"/>
      <c r="J649" s="171"/>
      <c r="K649" s="32"/>
      <c r="L649" s="171"/>
    </row>
    <row r="650" spans="1:12" hidden="1">
      <c r="A650" s="170">
        <v>651</v>
      </c>
      <c r="B650" s="32"/>
      <c r="C650" s="171"/>
      <c r="D650" s="32" t="s">
        <v>24</v>
      </c>
      <c r="E650" s="32"/>
      <c r="F650" s="32"/>
      <c r="G650" s="32"/>
      <c r="H650" s="32"/>
      <c r="I650" s="171"/>
      <c r="J650" s="171"/>
      <c r="K650" s="32"/>
      <c r="L650" s="171"/>
    </row>
    <row r="651" spans="1:12" hidden="1">
      <c r="A651" s="170">
        <v>652</v>
      </c>
      <c r="B651" s="32"/>
      <c r="C651" s="171"/>
      <c r="D651" s="150" t="s">
        <v>24</v>
      </c>
      <c r="E651" s="32"/>
      <c r="F651" s="32"/>
      <c r="G651" s="32"/>
      <c r="H651" s="32"/>
      <c r="I651" s="171"/>
      <c r="J651" s="171"/>
      <c r="K651" s="32"/>
      <c r="L651" s="171"/>
    </row>
    <row r="652" spans="1:12" hidden="1">
      <c r="A652" s="170">
        <v>653</v>
      </c>
      <c r="B652" s="32"/>
      <c r="C652" s="171"/>
      <c r="D652" s="32" t="s">
        <v>24</v>
      </c>
      <c r="E652" s="32"/>
      <c r="F652" s="32"/>
      <c r="G652" s="32"/>
      <c r="H652" s="32"/>
      <c r="I652" s="171"/>
      <c r="J652" s="171"/>
      <c r="K652" s="32"/>
      <c r="L652" s="171"/>
    </row>
    <row r="653" spans="1:12" hidden="1">
      <c r="A653" s="170">
        <v>654</v>
      </c>
      <c r="B653" s="32"/>
      <c r="C653" s="171"/>
      <c r="D653" s="32" t="s">
        <v>24</v>
      </c>
      <c r="E653" s="32"/>
      <c r="F653" s="32"/>
      <c r="G653" s="32"/>
      <c r="H653" s="32"/>
      <c r="I653" s="171"/>
      <c r="J653" s="171"/>
      <c r="K653" s="32"/>
      <c r="L653" s="171"/>
    </row>
    <row r="654" spans="1:12" hidden="1">
      <c r="A654" s="170">
        <v>655</v>
      </c>
      <c r="B654" s="32"/>
      <c r="C654" s="171"/>
      <c r="D654" s="32" t="s">
        <v>24</v>
      </c>
      <c r="E654" s="32"/>
      <c r="F654" s="32"/>
      <c r="G654" s="32"/>
      <c r="H654" s="32"/>
      <c r="I654" s="171"/>
      <c r="J654" s="171"/>
      <c r="K654" s="32"/>
      <c r="L654" s="171"/>
    </row>
    <row r="655" spans="1:12" hidden="1">
      <c r="A655" s="170">
        <v>656</v>
      </c>
      <c r="B655" s="32"/>
      <c r="C655" s="171"/>
      <c r="D655" s="32" t="s">
        <v>24</v>
      </c>
      <c r="E655" s="32"/>
      <c r="F655" s="32"/>
      <c r="G655" s="32"/>
      <c r="H655" s="32"/>
      <c r="I655" s="171"/>
      <c r="J655" s="171"/>
      <c r="K655" s="32"/>
      <c r="L655" s="171"/>
    </row>
    <row r="656" spans="1:12" hidden="1">
      <c r="A656" s="170">
        <v>657</v>
      </c>
      <c r="B656" s="32"/>
      <c r="C656" s="171"/>
      <c r="D656" s="150" t="s">
        <v>24</v>
      </c>
      <c r="E656" s="32"/>
      <c r="F656" s="32"/>
      <c r="G656" s="32"/>
      <c r="H656" s="32"/>
      <c r="I656" s="171"/>
      <c r="J656" s="171"/>
      <c r="K656" s="32"/>
      <c r="L656" s="171"/>
    </row>
    <row r="657" spans="1:12" hidden="1">
      <c r="A657" s="170">
        <v>658</v>
      </c>
      <c r="B657" s="32"/>
      <c r="C657" s="171"/>
      <c r="D657" s="32" t="s">
        <v>24</v>
      </c>
      <c r="E657" s="32"/>
      <c r="F657" s="32"/>
      <c r="G657" s="32"/>
      <c r="H657" s="32"/>
      <c r="I657" s="171"/>
      <c r="J657" s="171"/>
      <c r="K657" s="32"/>
      <c r="L657" s="171"/>
    </row>
    <row r="658" spans="1:12" hidden="1">
      <c r="A658" s="170">
        <v>659</v>
      </c>
      <c r="B658" s="32"/>
      <c r="C658" s="171"/>
      <c r="D658" s="32" t="s">
        <v>24</v>
      </c>
      <c r="E658" s="32"/>
      <c r="F658" s="32"/>
      <c r="G658" s="32"/>
      <c r="H658" s="32"/>
      <c r="I658" s="171"/>
      <c r="J658" s="171"/>
      <c r="K658" s="32"/>
      <c r="L658" s="171"/>
    </row>
    <row r="659" spans="1:12" hidden="1">
      <c r="A659" s="170">
        <v>660</v>
      </c>
      <c r="B659" s="32"/>
      <c r="C659" s="171"/>
      <c r="D659" s="32" t="s">
        <v>24</v>
      </c>
      <c r="E659" s="32"/>
      <c r="F659" s="32"/>
      <c r="G659" s="32"/>
      <c r="H659" s="32"/>
      <c r="I659" s="171"/>
      <c r="J659" s="171"/>
      <c r="K659" s="32"/>
      <c r="L659" s="171"/>
    </row>
    <row r="660" spans="1:12" hidden="1">
      <c r="A660" s="170">
        <v>661</v>
      </c>
      <c r="B660" s="32"/>
      <c r="C660" s="171"/>
      <c r="D660" s="32" t="s">
        <v>24</v>
      </c>
      <c r="E660" s="32"/>
      <c r="F660" s="32"/>
      <c r="G660" s="32"/>
      <c r="H660" s="32"/>
      <c r="I660" s="171"/>
      <c r="J660" s="171"/>
      <c r="K660" s="32"/>
      <c r="L660" s="171"/>
    </row>
    <row r="661" spans="1:12" hidden="1">
      <c r="A661" s="170">
        <v>662</v>
      </c>
      <c r="B661" s="32"/>
      <c r="C661" s="171"/>
      <c r="D661" s="150" t="s">
        <v>24</v>
      </c>
      <c r="E661" s="32"/>
      <c r="F661" s="32"/>
      <c r="G661" s="32"/>
      <c r="H661" s="32"/>
      <c r="I661" s="171"/>
      <c r="J661" s="171"/>
      <c r="K661" s="32"/>
      <c r="L661" s="171"/>
    </row>
    <row r="662" spans="1:12" hidden="1">
      <c r="A662" s="170">
        <v>663</v>
      </c>
      <c r="B662" s="32"/>
      <c r="C662" s="171"/>
      <c r="D662" s="32" t="s">
        <v>24</v>
      </c>
      <c r="E662" s="32"/>
      <c r="F662" s="32"/>
      <c r="G662" s="32"/>
      <c r="H662" s="32"/>
      <c r="I662" s="171"/>
      <c r="J662" s="171"/>
      <c r="K662" s="32"/>
      <c r="L662" s="171"/>
    </row>
    <row r="663" spans="1:12" hidden="1">
      <c r="A663" s="170">
        <v>664</v>
      </c>
      <c r="B663" s="32"/>
      <c r="C663" s="171"/>
      <c r="D663" s="32" t="s">
        <v>24</v>
      </c>
      <c r="E663" s="32"/>
      <c r="F663" s="32"/>
      <c r="G663" s="32"/>
      <c r="H663" s="32"/>
      <c r="I663" s="171"/>
      <c r="J663" s="171"/>
      <c r="K663" s="32"/>
      <c r="L663" s="171"/>
    </row>
    <row r="664" spans="1:12" hidden="1">
      <c r="A664" s="170">
        <v>665</v>
      </c>
      <c r="B664" s="32"/>
      <c r="C664" s="171"/>
      <c r="D664" s="32" t="s">
        <v>24</v>
      </c>
      <c r="E664" s="32"/>
      <c r="F664" s="32"/>
      <c r="G664" s="32"/>
      <c r="H664" s="32"/>
      <c r="I664" s="171"/>
      <c r="J664" s="171"/>
      <c r="K664" s="32"/>
      <c r="L664" s="171"/>
    </row>
    <row r="665" spans="1:12" hidden="1">
      <c r="A665" s="170">
        <v>666</v>
      </c>
      <c r="B665" s="32"/>
      <c r="C665" s="171"/>
      <c r="D665" s="32" t="s">
        <v>24</v>
      </c>
      <c r="E665" s="32"/>
      <c r="F665" s="32"/>
      <c r="G665" s="32"/>
      <c r="H665" s="32"/>
      <c r="I665" s="171"/>
      <c r="J665" s="171"/>
      <c r="K665" s="32"/>
      <c r="L665" s="171"/>
    </row>
    <row r="666" spans="1:12" hidden="1">
      <c r="A666" s="170">
        <v>667</v>
      </c>
      <c r="B666" s="32"/>
      <c r="C666" s="171"/>
      <c r="D666" s="150" t="s">
        <v>24</v>
      </c>
      <c r="E666" s="32"/>
      <c r="F666" s="32"/>
      <c r="G666" s="32"/>
      <c r="H666" s="32"/>
      <c r="I666" s="171"/>
      <c r="J666" s="171"/>
      <c r="K666" s="32"/>
      <c r="L666" s="171"/>
    </row>
    <row r="667" spans="1:12" hidden="1">
      <c r="A667" s="170">
        <v>668</v>
      </c>
      <c r="B667" s="32"/>
      <c r="C667" s="171"/>
      <c r="D667" s="32" t="s">
        <v>24</v>
      </c>
      <c r="E667" s="32"/>
      <c r="F667" s="32"/>
      <c r="G667" s="32"/>
      <c r="H667" s="32"/>
      <c r="I667" s="171"/>
      <c r="J667" s="171"/>
      <c r="K667" s="32"/>
      <c r="L667" s="171"/>
    </row>
    <row r="668" spans="1:12" hidden="1">
      <c r="A668" s="170">
        <v>669</v>
      </c>
      <c r="B668" s="32"/>
      <c r="C668" s="171"/>
      <c r="D668" s="32" t="s">
        <v>24</v>
      </c>
      <c r="E668" s="32"/>
      <c r="F668" s="32"/>
      <c r="G668" s="32"/>
      <c r="H668" s="32"/>
      <c r="I668" s="171"/>
      <c r="J668" s="171"/>
      <c r="K668" s="32"/>
      <c r="L668" s="171"/>
    </row>
    <row r="669" spans="1:12" hidden="1">
      <c r="A669" s="170">
        <v>670</v>
      </c>
      <c r="B669" s="32"/>
      <c r="C669" s="171"/>
      <c r="D669" s="32" t="s">
        <v>24</v>
      </c>
      <c r="E669" s="32"/>
      <c r="F669" s="32"/>
      <c r="G669" s="32"/>
      <c r="H669" s="32"/>
      <c r="I669" s="171"/>
      <c r="J669" s="171"/>
      <c r="K669" s="32"/>
      <c r="L669" s="171"/>
    </row>
    <row r="670" spans="1:12" hidden="1">
      <c r="A670" s="170">
        <v>671</v>
      </c>
      <c r="B670" s="32"/>
      <c r="C670" s="171"/>
      <c r="D670" s="32" t="s">
        <v>24</v>
      </c>
      <c r="E670" s="32"/>
      <c r="F670" s="32"/>
      <c r="G670" s="32"/>
      <c r="H670" s="32"/>
      <c r="I670" s="171"/>
      <c r="J670" s="171"/>
      <c r="K670" s="32"/>
      <c r="L670" s="171"/>
    </row>
    <row r="671" spans="1:12" hidden="1">
      <c r="A671" s="170">
        <v>672</v>
      </c>
      <c r="B671" s="32"/>
      <c r="C671" s="171"/>
      <c r="D671" s="150" t="s">
        <v>24</v>
      </c>
      <c r="E671" s="32"/>
      <c r="F671" s="32"/>
      <c r="G671" s="32"/>
      <c r="H671" s="32"/>
      <c r="I671" s="171"/>
      <c r="J671" s="171"/>
      <c r="K671" s="32"/>
      <c r="L671" s="171"/>
    </row>
    <row r="672" spans="1:12" hidden="1">
      <c r="A672" s="170">
        <v>673</v>
      </c>
      <c r="B672" s="32"/>
      <c r="C672" s="171"/>
      <c r="D672" s="32" t="s">
        <v>24</v>
      </c>
      <c r="E672" s="32"/>
      <c r="F672" s="32"/>
      <c r="G672" s="32"/>
      <c r="H672" s="32"/>
      <c r="I672" s="171"/>
      <c r="J672" s="171"/>
      <c r="K672" s="32"/>
      <c r="L672" s="171"/>
    </row>
    <row r="673" spans="1:12" hidden="1">
      <c r="A673" s="170">
        <v>674</v>
      </c>
      <c r="B673" s="32"/>
      <c r="C673" s="171"/>
      <c r="D673" s="32" t="s">
        <v>24</v>
      </c>
      <c r="E673" s="32"/>
      <c r="F673" s="32"/>
      <c r="G673" s="32"/>
      <c r="H673" s="32"/>
      <c r="I673" s="171"/>
      <c r="J673" s="171"/>
      <c r="K673" s="32"/>
      <c r="L673" s="171"/>
    </row>
    <row r="674" spans="1:12" hidden="1">
      <c r="A674" s="170">
        <v>675</v>
      </c>
      <c r="B674" s="32"/>
      <c r="C674" s="171"/>
      <c r="D674" s="32" t="s">
        <v>24</v>
      </c>
      <c r="E674" s="32"/>
      <c r="F674" s="32"/>
      <c r="G674" s="32"/>
      <c r="H674" s="32"/>
      <c r="I674" s="171"/>
      <c r="J674" s="171"/>
      <c r="K674" s="32"/>
      <c r="L674" s="171"/>
    </row>
    <row r="675" spans="1:12" hidden="1">
      <c r="A675" s="170">
        <v>676</v>
      </c>
      <c r="B675" s="32"/>
      <c r="C675" s="171"/>
      <c r="D675" s="32" t="s">
        <v>24</v>
      </c>
      <c r="E675" s="32"/>
      <c r="F675" s="32"/>
      <c r="G675" s="32"/>
      <c r="H675" s="32"/>
      <c r="I675" s="171"/>
      <c r="J675" s="171"/>
      <c r="K675" s="32"/>
      <c r="L675" s="171"/>
    </row>
    <row r="676" spans="1:12" hidden="1">
      <c r="A676" s="170">
        <v>677</v>
      </c>
      <c r="B676" s="32"/>
      <c r="C676" s="171"/>
      <c r="D676" s="150" t="s">
        <v>24</v>
      </c>
      <c r="E676" s="32"/>
      <c r="F676" s="32"/>
      <c r="G676" s="32"/>
      <c r="H676" s="32"/>
      <c r="I676" s="171"/>
      <c r="J676" s="171"/>
      <c r="K676" s="32"/>
      <c r="L676" s="171"/>
    </row>
    <row r="677" spans="1:12" hidden="1">
      <c r="A677" s="170">
        <v>678</v>
      </c>
      <c r="B677" s="32"/>
      <c r="C677" s="171"/>
      <c r="D677" s="32" t="s">
        <v>24</v>
      </c>
      <c r="E677" s="32"/>
      <c r="F677" s="32"/>
      <c r="G677" s="32"/>
      <c r="H677" s="32"/>
      <c r="I677" s="171"/>
      <c r="J677" s="171"/>
      <c r="K677" s="32"/>
      <c r="L677" s="171"/>
    </row>
    <row r="678" spans="1:12" hidden="1">
      <c r="A678" s="170">
        <v>679</v>
      </c>
      <c r="B678" s="32"/>
      <c r="C678" s="171"/>
      <c r="D678" s="32" t="s">
        <v>24</v>
      </c>
      <c r="E678" s="32"/>
      <c r="F678" s="32"/>
      <c r="G678" s="32"/>
      <c r="H678" s="32"/>
      <c r="I678" s="171"/>
      <c r="J678" s="171"/>
      <c r="K678" s="32"/>
      <c r="L678" s="171"/>
    </row>
    <row r="679" spans="1:12" hidden="1">
      <c r="A679" s="170">
        <v>680</v>
      </c>
      <c r="B679" s="32"/>
      <c r="C679" s="171"/>
      <c r="D679" s="32" t="s">
        <v>24</v>
      </c>
      <c r="E679" s="32"/>
      <c r="F679" s="32"/>
      <c r="G679" s="32"/>
      <c r="H679" s="32"/>
      <c r="I679" s="171"/>
      <c r="J679" s="171"/>
      <c r="K679" s="32"/>
      <c r="L679" s="171"/>
    </row>
    <row r="680" spans="1:12" hidden="1">
      <c r="A680" s="170">
        <v>681</v>
      </c>
      <c r="B680" s="32"/>
      <c r="C680" s="171"/>
      <c r="D680" s="32" t="s">
        <v>24</v>
      </c>
      <c r="E680" s="32"/>
      <c r="F680" s="32"/>
      <c r="G680" s="32"/>
      <c r="H680" s="32"/>
      <c r="I680" s="171"/>
      <c r="J680" s="171"/>
      <c r="K680" s="32"/>
      <c r="L680" s="171"/>
    </row>
    <row r="681" spans="1:12" hidden="1">
      <c r="A681" s="170">
        <v>682</v>
      </c>
      <c r="B681" s="32"/>
      <c r="C681" s="171"/>
      <c r="D681" s="150" t="s">
        <v>24</v>
      </c>
      <c r="E681" s="32"/>
      <c r="F681" s="32"/>
      <c r="G681" s="32"/>
      <c r="H681" s="32"/>
      <c r="I681" s="171"/>
      <c r="J681" s="171"/>
      <c r="K681" s="32"/>
      <c r="L681" s="171"/>
    </row>
    <row r="682" spans="1:12" hidden="1">
      <c r="A682" s="170">
        <v>683</v>
      </c>
      <c r="B682" s="32"/>
      <c r="C682" s="171"/>
      <c r="D682" s="32" t="s">
        <v>24</v>
      </c>
      <c r="E682" s="32"/>
      <c r="F682" s="32"/>
      <c r="G682" s="32"/>
      <c r="H682" s="32"/>
      <c r="I682" s="171"/>
      <c r="J682" s="171"/>
      <c r="K682" s="32"/>
      <c r="L682" s="171"/>
    </row>
    <row r="683" spans="1:12" hidden="1">
      <c r="A683" s="170">
        <v>684</v>
      </c>
      <c r="B683" s="32"/>
      <c r="C683" s="171"/>
      <c r="D683" s="32" t="s">
        <v>24</v>
      </c>
      <c r="E683" s="32"/>
      <c r="F683" s="32"/>
      <c r="G683" s="32"/>
      <c r="H683" s="32"/>
      <c r="I683" s="171"/>
      <c r="J683" s="171"/>
      <c r="K683" s="32"/>
      <c r="L683" s="171"/>
    </row>
    <row r="684" spans="1:12" hidden="1">
      <c r="A684" s="170">
        <v>685</v>
      </c>
      <c r="B684" s="32"/>
      <c r="C684" s="171"/>
      <c r="D684" s="32" t="s">
        <v>24</v>
      </c>
      <c r="E684" s="32"/>
      <c r="F684" s="32"/>
      <c r="G684" s="32"/>
      <c r="H684" s="32"/>
      <c r="I684" s="171"/>
      <c r="J684" s="171"/>
      <c r="K684" s="32"/>
      <c r="L684" s="171"/>
    </row>
    <row r="685" spans="1:12" hidden="1">
      <c r="A685" s="170">
        <v>686</v>
      </c>
      <c r="B685" s="32"/>
      <c r="C685" s="171"/>
      <c r="D685" s="32" t="s">
        <v>24</v>
      </c>
      <c r="E685" s="32"/>
      <c r="F685" s="32"/>
      <c r="G685" s="32"/>
      <c r="H685" s="32"/>
      <c r="I685" s="171"/>
      <c r="J685" s="171"/>
      <c r="K685" s="32"/>
      <c r="L685" s="171"/>
    </row>
    <row r="686" spans="1:12" hidden="1">
      <c r="A686" s="170">
        <v>687</v>
      </c>
      <c r="B686" s="32"/>
      <c r="C686" s="171"/>
      <c r="D686" s="150" t="s">
        <v>24</v>
      </c>
      <c r="E686" s="32"/>
      <c r="F686" s="32"/>
      <c r="G686" s="32"/>
      <c r="H686" s="32"/>
      <c r="I686" s="171"/>
      <c r="J686" s="171"/>
      <c r="K686" s="32"/>
      <c r="L686" s="171"/>
    </row>
    <row r="687" spans="1:12" hidden="1">
      <c r="A687" s="170">
        <v>688</v>
      </c>
      <c r="B687" s="32"/>
      <c r="C687" s="171"/>
      <c r="D687" s="32" t="s">
        <v>24</v>
      </c>
      <c r="E687" s="32"/>
      <c r="F687" s="32"/>
      <c r="G687" s="32"/>
      <c r="H687" s="32"/>
      <c r="I687" s="171"/>
      <c r="J687" s="171"/>
      <c r="K687" s="32"/>
      <c r="L687" s="171"/>
    </row>
    <row r="688" spans="1:12" hidden="1">
      <c r="A688" s="170">
        <v>689</v>
      </c>
      <c r="B688" s="32"/>
      <c r="C688" s="171"/>
      <c r="D688" s="32" t="s">
        <v>24</v>
      </c>
      <c r="E688" s="32"/>
      <c r="F688" s="32"/>
      <c r="G688" s="32"/>
      <c r="H688" s="32"/>
      <c r="I688" s="171"/>
      <c r="J688" s="171"/>
      <c r="K688" s="32"/>
      <c r="L688" s="171"/>
    </row>
    <row r="689" spans="1:12" hidden="1">
      <c r="A689" s="170">
        <v>690</v>
      </c>
      <c r="B689" s="32"/>
      <c r="C689" s="171"/>
      <c r="D689" s="32" t="s">
        <v>24</v>
      </c>
      <c r="E689" s="32"/>
      <c r="F689" s="32"/>
      <c r="G689" s="32"/>
      <c r="H689" s="32"/>
      <c r="I689" s="171"/>
      <c r="J689" s="171"/>
      <c r="K689" s="32"/>
      <c r="L689" s="171"/>
    </row>
    <row r="690" spans="1:12" hidden="1">
      <c r="A690" s="170">
        <v>691</v>
      </c>
      <c r="B690" s="32"/>
      <c r="C690" s="171"/>
      <c r="D690" s="32" t="s">
        <v>24</v>
      </c>
      <c r="E690" s="32"/>
      <c r="F690" s="32"/>
      <c r="G690" s="32"/>
      <c r="H690" s="32"/>
      <c r="I690" s="171"/>
      <c r="J690" s="171"/>
      <c r="K690" s="32"/>
      <c r="L690" s="171"/>
    </row>
    <row r="691" spans="1:12" hidden="1">
      <c r="A691" s="170">
        <v>692</v>
      </c>
      <c r="B691" s="32"/>
      <c r="C691" s="171"/>
      <c r="D691" s="150" t="s">
        <v>24</v>
      </c>
      <c r="E691" s="32"/>
      <c r="F691" s="32"/>
      <c r="G691" s="32"/>
      <c r="H691" s="32"/>
      <c r="I691" s="171"/>
      <c r="J691" s="171"/>
      <c r="K691" s="32"/>
      <c r="L691" s="171"/>
    </row>
    <row r="692" spans="1:12" hidden="1">
      <c r="A692" s="170">
        <v>693</v>
      </c>
      <c r="B692" s="32"/>
      <c r="C692" s="171"/>
      <c r="D692" s="32" t="s">
        <v>24</v>
      </c>
      <c r="E692" s="32"/>
      <c r="F692" s="32"/>
      <c r="G692" s="32"/>
      <c r="H692" s="32"/>
      <c r="I692" s="171"/>
      <c r="J692" s="171"/>
      <c r="K692" s="32"/>
      <c r="L692" s="171"/>
    </row>
    <row r="693" spans="1:12" hidden="1">
      <c r="A693" s="170">
        <v>694</v>
      </c>
      <c r="B693" s="32"/>
      <c r="C693" s="171"/>
      <c r="D693" s="32" t="s">
        <v>24</v>
      </c>
      <c r="E693" s="32"/>
      <c r="F693" s="32"/>
      <c r="G693" s="32"/>
      <c r="H693" s="32"/>
      <c r="I693" s="171"/>
      <c r="J693" s="171"/>
      <c r="K693" s="32"/>
      <c r="L693" s="171"/>
    </row>
    <row r="694" spans="1:12" hidden="1">
      <c r="A694" s="170">
        <v>695</v>
      </c>
      <c r="B694" s="32"/>
      <c r="C694" s="171"/>
      <c r="D694" s="32" t="s">
        <v>24</v>
      </c>
      <c r="E694" s="32"/>
      <c r="F694" s="32"/>
      <c r="G694" s="32"/>
      <c r="H694" s="32"/>
      <c r="I694" s="171"/>
      <c r="J694" s="171"/>
      <c r="K694" s="32"/>
      <c r="L694" s="171"/>
    </row>
    <row r="695" spans="1:12" hidden="1">
      <c r="A695" s="170">
        <v>696</v>
      </c>
      <c r="B695" s="32"/>
      <c r="C695" s="171"/>
      <c r="D695" s="32" t="s">
        <v>24</v>
      </c>
      <c r="E695" s="32"/>
      <c r="F695" s="32"/>
      <c r="G695" s="32"/>
      <c r="H695" s="32"/>
      <c r="I695" s="171"/>
      <c r="J695" s="171"/>
      <c r="K695" s="32"/>
      <c r="L695" s="171"/>
    </row>
    <row r="696" spans="1:12" hidden="1">
      <c r="A696" s="170">
        <v>697</v>
      </c>
      <c r="B696" s="32"/>
      <c r="C696" s="171"/>
      <c r="D696" s="150" t="s">
        <v>24</v>
      </c>
      <c r="E696" s="32"/>
      <c r="F696" s="32"/>
      <c r="G696" s="32"/>
      <c r="H696" s="32"/>
      <c r="I696" s="171"/>
      <c r="J696" s="171"/>
      <c r="K696" s="32"/>
      <c r="L696" s="171"/>
    </row>
    <row r="697" spans="1:12" hidden="1">
      <c r="A697" s="170">
        <v>698</v>
      </c>
      <c r="B697" s="32"/>
      <c r="C697" s="171"/>
      <c r="D697" s="32" t="s">
        <v>24</v>
      </c>
      <c r="E697" s="32"/>
      <c r="F697" s="32"/>
      <c r="G697" s="32"/>
      <c r="H697" s="32"/>
      <c r="I697" s="171"/>
      <c r="J697" s="171"/>
      <c r="K697" s="32"/>
      <c r="L697" s="171"/>
    </row>
    <row r="698" spans="1:12" hidden="1">
      <c r="A698" s="170">
        <v>699</v>
      </c>
      <c r="B698" s="32"/>
      <c r="C698" s="171"/>
      <c r="D698" s="32" t="s">
        <v>24</v>
      </c>
      <c r="E698" s="32"/>
      <c r="F698" s="32"/>
      <c r="G698" s="32"/>
      <c r="H698" s="32"/>
      <c r="I698" s="171"/>
      <c r="J698" s="171"/>
      <c r="K698" s="32"/>
      <c r="L698" s="171"/>
    </row>
    <row r="699" spans="1:12" hidden="1">
      <c r="A699" s="170">
        <v>700</v>
      </c>
      <c r="B699" s="32"/>
      <c r="C699" s="171"/>
      <c r="D699" s="32" t="s">
        <v>24</v>
      </c>
      <c r="E699" s="32"/>
      <c r="F699" s="32"/>
      <c r="G699" s="32"/>
      <c r="H699" s="32"/>
      <c r="I699" s="171"/>
      <c r="J699" s="171"/>
      <c r="K699" s="32"/>
      <c r="L699" s="171"/>
    </row>
    <row r="700" spans="1:12" hidden="1">
      <c r="A700" s="170">
        <v>701</v>
      </c>
      <c r="B700" s="32"/>
      <c r="C700" s="171"/>
      <c r="D700" s="32" t="s">
        <v>24</v>
      </c>
      <c r="E700" s="32"/>
      <c r="F700" s="32"/>
      <c r="G700" s="32"/>
      <c r="H700" s="32"/>
      <c r="I700" s="171"/>
      <c r="J700" s="171"/>
      <c r="K700" s="32"/>
      <c r="L700" s="171"/>
    </row>
    <row r="701" spans="1:12" hidden="1">
      <c r="A701" s="170">
        <v>702</v>
      </c>
      <c r="B701" s="32"/>
      <c r="C701" s="171"/>
      <c r="D701" s="150" t="s">
        <v>24</v>
      </c>
      <c r="E701" s="32"/>
      <c r="F701" s="32"/>
      <c r="G701" s="32"/>
      <c r="H701" s="32"/>
      <c r="I701" s="171"/>
      <c r="J701" s="171"/>
      <c r="K701" s="32"/>
      <c r="L701" s="171"/>
    </row>
    <row r="702" spans="1:12" hidden="1">
      <c r="A702" s="170">
        <v>703</v>
      </c>
      <c r="B702" s="32"/>
      <c r="C702" s="171"/>
      <c r="D702" s="32" t="s">
        <v>24</v>
      </c>
      <c r="E702" s="32"/>
      <c r="F702" s="32"/>
      <c r="G702" s="32"/>
      <c r="H702" s="32"/>
      <c r="I702" s="171"/>
      <c r="J702" s="171"/>
      <c r="K702" s="32"/>
      <c r="L702" s="171"/>
    </row>
    <row r="703" spans="1:12" hidden="1">
      <c r="A703" s="170">
        <v>704</v>
      </c>
      <c r="B703" s="32"/>
      <c r="C703" s="171"/>
      <c r="D703" s="32" t="s">
        <v>24</v>
      </c>
      <c r="E703" s="32"/>
      <c r="F703" s="32"/>
      <c r="G703" s="32"/>
      <c r="H703" s="32"/>
      <c r="I703" s="171"/>
      <c r="J703" s="171"/>
      <c r="K703" s="32"/>
      <c r="L703" s="171"/>
    </row>
    <row r="704" spans="1:12" hidden="1">
      <c r="A704" s="170">
        <v>705</v>
      </c>
      <c r="B704" s="32"/>
      <c r="C704" s="171"/>
      <c r="D704" s="32" t="s">
        <v>24</v>
      </c>
      <c r="E704" s="32"/>
      <c r="F704" s="32"/>
      <c r="G704" s="32"/>
      <c r="H704" s="32"/>
      <c r="I704" s="171"/>
      <c r="J704" s="171"/>
      <c r="K704" s="32"/>
      <c r="L704" s="171"/>
    </row>
    <row r="705" spans="1:12" hidden="1">
      <c r="A705" s="170">
        <v>706</v>
      </c>
      <c r="B705" s="32"/>
      <c r="C705" s="171"/>
      <c r="D705" s="32" t="s">
        <v>24</v>
      </c>
      <c r="E705" s="32"/>
      <c r="F705" s="32"/>
      <c r="G705" s="32"/>
      <c r="H705" s="32"/>
      <c r="I705" s="171"/>
      <c r="J705" s="171"/>
      <c r="K705" s="32"/>
      <c r="L705" s="171"/>
    </row>
    <row r="706" spans="1:12" hidden="1">
      <c r="A706" s="170">
        <v>707</v>
      </c>
      <c r="B706" s="32"/>
      <c r="C706" s="171"/>
      <c r="D706" s="150" t="s">
        <v>24</v>
      </c>
      <c r="E706" s="32"/>
      <c r="F706" s="32"/>
      <c r="G706" s="32"/>
      <c r="H706" s="32"/>
      <c r="I706" s="171"/>
      <c r="J706" s="171"/>
      <c r="K706" s="32"/>
      <c r="L706" s="171"/>
    </row>
    <row r="707" spans="1:12" hidden="1">
      <c r="A707" s="170">
        <v>708</v>
      </c>
      <c r="B707" s="32"/>
      <c r="C707" s="171"/>
      <c r="D707" s="32" t="s">
        <v>24</v>
      </c>
      <c r="E707" s="32"/>
      <c r="F707" s="32"/>
      <c r="G707" s="32"/>
      <c r="H707" s="32"/>
      <c r="I707" s="171"/>
      <c r="J707" s="171"/>
      <c r="K707" s="32"/>
      <c r="L707" s="171"/>
    </row>
    <row r="708" spans="1:12" hidden="1">
      <c r="A708" s="170">
        <v>709</v>
      </c>
      <c r="B708" s="32"/>
      <c r="C708" s="171"/>
      <c r="D708" s="32" t="s">
        <v>24</v>
      </c>
      <c r="E708" s="32"/>
      <c r="F708" s="32"/>
      <c r="G708" s="32"/>
      <c r="H708" s="32"/>
      <c r="I708" s="171"/>
      <c r="J708" s="171"/>
      <c r="K708" s="32"/>
      <c r="L708" s="171"/>
    </row>
    <row r="709" spans="1:12" hidden="1">
      <c r="A709" s="170">
        <v>710</v>
      </c>
      <c r="B709" s="32"/>
      <c r="C709" s="171"/>
      <c r="D709" s="32" t="s">
        <v>24</v>
      </c>
      <c r="E709" s="32"/>
      <c r="F709" s="32"/>
      <c r="G709" s="32"/>
      <c r="H709" s="32"/>
      <c r="I709" s="171"/>
      <c r="J709" s="171"/>
      <c r="K709" s="32"/>
      <c r="L709" s="171"/>
    </row>
    <row r="710" spans="1:12" hidden="1">
      <c r="A710" s="170">
        <v>711</v>
      </c>
      <c r="B710" s="32"/>
      <c r="C710" s="171"/>
      <c r="D710" s="32" t="s">
        <v>24</v>
      </c>
      <c r="E710" s="32"/>
      <c r="F710" s="32"/>
      <c r="G710" s="32"/>
      <c r="H710" s="32"/>
      <c r="I710" s="171"/>
      <c r="J710" s="171"/>
      <c r="K710" s="32"/>
      <c r="L710" s="171"/>
    </row>
    <row r="711" spans="1:12" hidden="1">
      <c r="A711" s="170">
        <v>712</v>
      </c>
      <c r="B711" s="32"/>
      <c r="C711" s="171"/>
      <c r="D711" s="150" t="s">
        <v>24</v>
      </c>
      <c r="E711" s="32"/>
      <c r="F711" s="32"/>
      <c r="G711" s="32"/>
      <c r="H711" s="32"/>
      <c r="I711" s="171"/>
      <c r="J711" s="171"/>
      <c r="K711" s="32"/>
      <c r="L711" s="171"/>
    </row>
    <row r="712" spans="1:12" hidden="1">
      <c r="A712" s="170">
        <v>713</v>
      </c>
      <c r="B712" s="32"/>
      <c r="C712" s="171"/>
      <c r="D712" s="32" t="s">
        <v>24</v>
      </c>
      <c r="E712" s="32"/>
      <c r="F712" s="32"/>
      <c r="G712" s="32"/>
      <c r="H712" s="32"/>
      <c r="I712" s="171"/>
      <c r="J712" s="171"/>
      <c r="K712" s="32"/>
      <c r="L712" s="171"/>
    </row>
    <row r="713" spans="1:12" hidden="1">
      <c r="A713" s="170">
        <v>714</v>
      </c>
      <c r="B713" s="32"/>
      <c r="C713" s="171"/>
      <c r="D713" s="32" t="s">
        <v>24</v>
      </c>
      <c r="E713" s="32"/>
      <c r="F713" s="32"/>
      <c r="G713" s="32"/>
      <c r="H713" s="32"/>
      <c r="I713" s="171"/>
      <c r="J713" s="171"/>
      <c r="K713" s="32"/>
      <c r="L713" s="171"/>
    </row>
    <row r="714" spans="1:12" hidden="1">
      <c r="A714" s="170">
        <v>715</v>
      </c>
      <c r="B714" s="32"/>
      <c r="C714" s="171"/>
      <c r="D714" s="32" t="s">
        <v>24</v>
      </c>
      <c r="E714" s="32"/>
      <c r="F714" s="32"/>
      <c r="G714" s="32"/>
      <c r="H714" s="32"/>
      <c r="I714" s="171"/>
      <c r="J714" s="171"/>
      <c r="K714" s="32"/>
      <c r="L714" s="171"/>
    </row>
    <row r="715" spans="1:12" hidden="1">
      <c r="A715" s="170">
        <v>716</v>
      </c>
      <c r="B715" s="32"/>
      <c r="C715" s="171"/>
      <c r="D715" s="32" t="s">
        <v>24</v>
      </c>
      <c r="E715" s="32"/>
      <c r="F715" s="32"/>
      <c r="G715" s="32"/>
      <c r="H715" s="32"/>
      <c r="I715" s="171"/>
      <c r="J715" s="171"/>
      <c r="K715" s="32"/>
      <c r="L715" s="171"/>
    </row>
    <row r="716" spans="1:12" hidden="1">
      <c r="A716" s="170">
        <v>717</v>
      </c>
      <c r="B716" s="32"/>
      <c r="C716" s="171"/>
      <c r="D716" s="150" t="s">
        <v>24</v>
      </c>
      <c r="E716" s="32"/>
      <c r="F716" s="32"/>
      <c r="G716" s="32"/>
      <c r="H716" s="32"/>
      <c r="I716" s="171"/>
      <c r="J716" s="171"/>
      <c r="K716" s="32"/>
      <c r="L716" s="171"/>
    </row>
    <row r="717" spans="1:12" hidden="1">
      <c r="A717" s="170">
        <v>718</v>
      </c>
      <c r="B717" s="32"/>
      <c r="C717" s="171"/>
      <c r="D717" s="32" t="s">
        <v>24</v>
      </c>
      <c r="E717" s="32"/>
      <c r="F717" s="32"/>
      <c r="G717" s="32"/>
      <c r="H717" s="32"/>
      <c r="I717" s="171"/>
      <c r="J717" s="171"/>
      <c r="K717" s="32"/>
      <c r="L717" s="171"/>
    </row>
    <row r="718" spans="1:12" hidden="1">
      <c r="A718" s="170">
        <v>719</v>
      </c>
      <c r="B718" s="32"/>
      <c r="C718" s="171"/>
      <c r="D718" s="32" t="s">
        <v>24</v>
      </c>
      <c r="E718" s="32"/>
      <c r="F718" s="32"/>
      <c r="G718" s="32"/>
      <c r="H718" s="32"/>
      <c r="I718" s="171"/>
      <c r="J718" s="171"/>
      <c r="K718" s="32"/>
      <c r="L718" s="171"/>
    </row>
    <row r="719" spans="1:12" hidden="1">
      <c r="A719" s="170">
        <v>720</v>
      </c>
      <c r="B719" s="32"/>
      <c r="C719" s="171"/>
      <c r="D719" s="32" t="s">
        <v>24</v>
      </c>
      <c r="E719" s="32"/>
      <c r="F719" s="32"/>
      <c r="G719" s="32"/>
      <c r="H719" s="32"/>
      <c r="I719" s="171"/>
      <c r="J719" s="171"/>
      <c r="K719" s="32"/>
      <c r="L719" s="171"/>
    </row>
    <row r="720" spans="1:12" hidden="1">
      <c r="A720" s="170">
        <v>721</v>
      </c>
      <c r="B720" s="32"/>
      <c r="C720" s="171"/>
      <c r="D720" s="32" t="s">
        <v>24</v>
      </c>
      <c r="E720" s="32"/>
      <c r="F720" s="32"/>
      <c r="G720" s="32"/>
      <c r="H720" s="32"/>
      <c r="I720" s="171"/>
      <c r="J720" s="171"/>
      <c r="K720" s="32"/>
      <c r="L720" s="171"/>
    </row>
    <row r="721" spans="1:22" hidden="1">
      <c r="A721" s="170">
        <v>722</v>
      </c>
      <c r="B721" s="32"/>
      <c r="C721" s="171"/>
      <c r="D721" s="150" t="s">
        <v>24</v>
      </c>
      <c r="E721" s="32"/>
      <c r="F721" s="32"/>
      <c r="G721" s="32"/>
      <c r="H721" s="32"/>
      <c r="I721" s="171"/>
      <c r="J721" s="171"/>
      <c r="K721" s="32"/>
      <c r="L721" s="171"/>
    </row>
    <row r="722" spans="1:22" hidden="1">
      <c r="A722" s="170">
        <v>723</v>
      </c>
      <c r="B722" s="32"/>
      <c r="C722" s="171"/>
      <c r="D722" s="32" t="s">
        <v>24</v>
      </c>
      <c r="E722" s="32"/>
      <c r="F722" s="32"/>
      <c r="G722" s="32"/>
      <c r="H722" s="32"/>
      <c r="I722" s="171"/>
      <c r="J722" s="171"/>
      <c r="K722" s="32"/>
      <c r="L722" s="171"/>
    </row>
    <row r="723" spans="1:22" hidden="1">
      <c r="A723" s="170">
        <v>724</v>
      </c>
      <c r="B723" s="32"/>
      <c r="C723" s="171"/>
      <c r="D723" s="32" t="s">
        <v>24</v>
      </c>
      <c r="E723" s="32"/>
      <c r="F723" s="32"/>
      <c r="G723" s="32"/>
      <c r="H723" s="32"/>
      <c r="I723" s="171"/>
      <c r="J723" s="171"/>
      <c r="K723" s="32"/>
      <c r="L723" s="171"/>
    </row>
    <row r="724" spans="1:22" hidden="1">
      <c r="A724" s="170">
        <v>725</v>
      </c>
      <c r="B724" s="32"/>
      <c r="C724" s="171"/>
      <c r="D724" s="32" t="s">
        <v>24</v>
      </c>
      <c r="E724" s="32"/>
      <c r="F724" s="32"/>
      <c r="G724" s="32"/>
      <c r="H724" s="32"/>
      <c r="I724" s="171"/>
      <c r="J724" s="171"/>
      <c r="K724" s="32"/>
      <c r="L724" s="171"/>
    </row>
    <row r="725" spans="1:22" hidden="1">
      <c r="A725" s="170">
        <v>726</v>
      </c>
      <c r="B725" s="32"/>
      <c r="C725" s="171"/>
      <c r="D725" s="32" t="s">
        <v>24</v>
      </c>
      <c r="E725" s="32"/>
      <c r="F725" s="32"/>
      <c r="G725" s="32"/>
      <c r="H725" s="32"/>
      <c r="I725" s="171"/>
      <c r="J725" s="171"/>
      <c r="K725" s="32"/>
      <c r="L725" s="171"/>
    </row>
    <row r="726" spans="1:22" hidden="1">
      <c r="A726" s="170">
        <v>727</v>
      </c>
      <c r="B726" s="32"/>
      <c r="C726" s="171"/>
      <c r="D726" s="150" t="s">
        <v>24</v>
      </c>
      <c r="E726" s="32"/>
      <c r="F726" s="32"/>
      <c r="G726" s="32"/>
      <c r="H726" s="32"/>
      <c r="I726" s="171"/>
      <c r="J726" s="171"/>
      <c r="K726" s="32"/>
      <c r="L726" s="171"/>
    </row>
    <row r="727" spans="1:22" hidden="1">
      <c r="A727" s="170">
        <v>728</v>
      </c>
      <c r="B727" s="32"/>
      <c r="C727" s="171"/>
      <c r="D727" s="32" t="s">
        <v>24</v>
      </c>
      <c r="E727" s="32"/>
      <c r="F727" s="32"/>
      <c r="G727" s="32"/>
      <c r="H727" s="32"/>
      <c r="I727" s="171"/>
      <c r="J727" s="171"/>
      <c r="K727" s="32"/>
      <c r="L727" s="171"/>
    </row>
    <row r="728" spans="1:22" hidden="1">
      <c r="A728" s="170">
        <v>729</v>
      </c>
      <c r="B728" s="32"/>
      <c r="C728" s="171"/>
      <c r="D728" s="32" t="s">
        <v>24</v>
      </c>
      <c r="E728" s="32"/>
      <c r="F728" s="32"/>
      <c r="G728" s="32"/>
      <c r="H728" s="32"/>
      <c r="I728" s="171"/>
      <c r="J728" s="171"/>
      <c r="K728" s="32"/>
      <c r="L728" s="171"/>
    </row>
    <row r="729" spans="1:22" hidden="1">
      <c r="A729" s="170">
        <v>730</v>
      </c>
      <c r="B729" s="32"/>
      <c r="C729" s="171"/>
      <c r="D729" s="32" t="s">
        <v>24</v>
      </c>
      <c r="E729" s="32"/>
      <c r="F729" s="32"/>
      <c r="G729" s="32"/>
      <c r="H729" s="32"/>
      <c r="I729" s="171"/>
      <c r="J729" s="171"/>
      <c r="K729" s="32"/>
      <c r="L729" s="171"/>
    </row>
    <row r="730" spans="1:22" hidden="1">
      <c r="A730" s="170">
        <v>731</v>
      </c>
      <c r="B730" s="32"/>
      <c r="C730" s="171"/>
      <c r="D730" s="32" t="s">
        <v>24</v>
      </c>
      <c r="E730" s="32"/>
      <c r="F730" s="32"/>
      <c r="G730" s="32"/>
      <c r="H730" s="32"/>
      <c r="I730" s="171"/>
      <c r="J730" s="171"/>
      <c r="K730" s="32"/>
      <c r="L730" s="171"/>
    </row>
    <row r="731" spans="1:22" hidden="1">
      <c r="A731" s="170">
        <v>732</v>
      </c>
      <c r="B731" s="32"/>
      <c r="C731" s="171"/>
      <c r="D731" s="150" t="s">
        <v>24</v>
      </c>
      <c r="E731" s="32"/>
      <c r="F731" s="32"/>
      <c r="G731" s="32"/>
      <c r="H731" s="32"/>
      <c r="I731" s="171"/>
      <c r="J731" s="171"/>
      <c r="K731" s="32"/>
      <c r="L731" s="171"/>
    </row>
    <row r="732" spans="1:22" hidden="1">
      <c r="A732" s="170">
        <v>733</v>
      </c>
      <c r="B732" s="32"/>
      <c r="C732" s="171"/>
      <c r="D732" s="32" t="s">
        <v>24</v>
      </c>
      <c r="E732" s="32"/>
      <c r="F732" s="32"/>
      <c r="G732" s="32"/>
      <c r="H732" s="32"/>
      <c r="I732" s="171"/>
      <c r="J732" s="171"/>
      <c r="K732" s="32"/>
      <c r="L732" s="171"/>
    </row>
    <row r="733" spans="1:22" hidden="1">
      <c r="A733" s="170">
        <v>734</v>
      </c>
      <c r="B733" s="32"/>
      <c r="C733" s="171"/>
      <c r="D733" s="32" t="s">
        <v>24</v>
      </c>
      <c r="E733" s="32"/>
      <c r="F733" s="32"/>
      <c r="G733" s="32"/>
      <c r="H733" s="32"/>
      <c r="I733" s="171"/>
      <c r="J733" s="171"/>
      <c r="K733" s="32"/>
      <c r="L733" s="171"/>
    </row>
    <row r="734" spans="1:22" ht="23.25">
      <c r="A734" s="17">
        <v>386</v>
      </c>
      <c r="B734" s="17" t="s">
        <v>1640</v>
      </c>
      <c r="C734" s="147">
        <v>46203</v>
      </c>
      <c r="D734" s="14" t="s">
        <v>24</v>
      </c>
      <c r="E734" s="14" t="s">
        <v>96</v>
      </c>
      <c r="F734" s="14" t="s">
        <v>392</v>
      </c>
      <c r="G734" s="14" t="s">
        <v>97</v>
      </c>
      <c r="H734" s="14" t="s">
        <v>140</v>
      </c>
      <c r="I734" s="17" t="s">
        <v>62</v>
      </c>
      <c r="J734" s="17">
        <v>6</v>
      </c>
      <c r="K734" s="14" t="s">
        <v>38</v>
      </c>
      <c r="M734" s="14" t="s">
        <v>1848</v>
      </c>
      <c r="N734" s="174" t="s">
        <v>1849</v>
      </c>
      <c r="O734" s="173" t="s">
        <v>1850</v>
      </c>
      <c r="P734" s="173" t="s">
        <v>1851</v>
      </c>
      <c r="R734" s="14" t="s">
        <v>163</v>
      </c>
      <c r="S734" s="14" t="s">
        <v>163</v>
      </c>
      <c r="T734" s="14" t="s">
        <v>1852</v>
      </c>
      <c r="V734" s="14" t="s">
        <v>1798</v>
      </c>
    </row>
    <row r="735" spans="1:22" ht="92.25" hidden="1">
      <c r="A735" s="17">
        <v>387</v>
      </c>
      <c r="B735" s="17" t="s">
        <v>1853</v>
      </c>
      <c r="C735" s="147">
        <v>46204</v>
      </c>
      <c r="D735" s="14" t="s">
        <v>24</v>
      </c>
      <c r="E735" s="14" t="s">
        <v>128</v>
      </c>
      <c r="G735" s="14" t="s">
        <v>1854</v>
      </c>
      <c r="H735" s="14" t="s">
        <v>748</v>
      </c>
      <c r="I735" s="17" t="s">
        <v>62</v>
      </c>
      <c r="J735" s="17">
        <v>1</v>
      </c>
      <c r="K735" s="32" t="s">
        <v>1598</v>
      </c>
      <c r="L735" s="14"/>
      <c r="M735" s="32" t="s">
        <v>1855</v>
      </c>
    </row>
    <row r="736" spans="1:22" hidden="1">
      <c r="A736" s="17">
        <v>388</v>
      </c>
      <c r="B736" s="17" t="s">
        <v>1853</v>
      </c>
      <c r="C736" s="147">
        <v>46204</v>
      </c>
      <c r="D736" s="14" t="s">
        <v>24</v>
      </c>
      <c r="E736" s="14" t="s">
        <v>25</v>
      </c>
      <c r="G736" s="14" t="s">
        <v>1856</v>
      </c>
      <c r="H736" s="14" t="s">
        <v>1512</v>
      </c>
      <c r="I736" s="17" t="s">
        <v>29</v>
      </c>
      <c r="J736" s="17">
        <v>6</v>
      </c>
      <c r="K736" s="14" t="s">
        <v>30</v>
      </c>
      <c r="M736" s="14" t="s">
        <v>1857</v>
      </c>
    </row>
    <row r="737" spans="1:22" hidden="1">
      <c r="A737" s="17">
        <v>389</v>
      </c>
      <c r="B737" s="17" t="s">
        <v>1853</v>
      </c>
    </row>
    <row r="738" spans="1:22" hidden="1">
      <c r="A738" s="17">
        <v>390</v>
      </c>
      <c r="B738" s="17" t="s">
        <v>1853</v>
      </c>
    </row>
    <row r="739" spans="1:22" hidden="1">
      <c r="A739" s="17">
        <v>391</v>
      </c>
      <c r="B739" s="17" t="s">
        <v>1853</v>
      </c>
    </row>
    <row r="740" spans="1:22" hidden="1">
      <c r="A740" s="17">
        <v>392</v>
      </c>
      <c r="B740" s="17" t="s">
        <v>1853</v>
      </c>
    </row>
    <row r="741" spans="1:22" hidden="1">
      <c r="A741" s="17">
        <v>393</v>
      </c>
      <c r="B741" s="17" t="s">
        <v>1853</v>
      </c>
    </row>
    <row r="742" spans="1:22" hidden="1">
      <c r="A742" s="17">
        <v>394</v>
      </c>
      <c r="B742" s="17" t="s">
        <v>1853</v>
      </c>
    </row>
    <row r="743" spans="1:22" hidden="1">
      <c r="A743" s="17">
        <v>395</v>
      </c>
      <c r="B743" s="17" t="s">
        <v>1853</v>
      </c>
    </row>
    <row r="744" spans="1:22" ht="92.25">
      <c r="A744" s="17">
        <v>387</v>
      </c>
      <c r="B744" s="14" t="s">
        <v>1853</v>
      </c>
      <c r="C744" s="147">
        <v>46204</v>
      </c>
      <c r="D744" s="14" t="s">
        <v>24</v>
      </c>
      <c r="E744" s="14" t="s">
        <v>128</v>
      </c>
      <c r="F744" s="14" t="s">
        <v>392</v>
      </c>
      <c r="G744" s="14" t="s">
        <v>1854</v>
      </c>
      <c r="H744" s="14" t="s">
        <v>748</v>
      </c>
      <c r="I744" s="17" t="s">
        <v>579</v>
      </c>
      <c r="J744" s="17">
        <v>1</v>
      </c>
      <c r="K744" s="32" t="s">
        <v>1598</v>
      </c>
      <c r="M744" s="32" t="s">
        <v>1855</v>
      </c>
      <c r="N744" s="174" t="s">
        <v>1858</v>
      </c>
      <c r="O744" s="173" t="s">
        <v>1859</v>
      </c>
      <c r="P744" s="173" t="s">
        <v>1860</v>
      </c>
      <c r="R744" s="14" t="s">
        <v>399</v>
      </c>
      <c r="S744" s="14" t="s">
        <v>163</v>
      </c>
      <c r="T744" s="32" t="s">
        <v>1861</v>
      </c>
      <c r="V744" s="14" t="s">
        <v>1798</v>
      </c>
    </row>
    <row r="745" spans="1:22">
      <c r="A745" s="17">
        <v>388</v>
      </c>
      <c r="B745" s="14" t="s">
        <v>1853</v>
      </c>
      <c r="C745" s="147">
        <v>46204</v>
      </c>
      <c r="D745" s="14" t="s">
        <v>24</v>
      </c>
      <c r="E745" s="14" t="s">
        <v>25</v>
      </c>
      <c r="F745" s="14" t="s">
        <v>26</v>
      </c>
      <c r="G745" s="14" t="s">
        <v>1856</v>
      </c>
      <c r="H745" s="14" t="s">
        <v>1512</v>
      </c>
      <c r="I745" s="17" t="s">
        <v>29</v>
      </c>
      <c r="J745" s="17">
        <v>6</v>
      </c>
      <c r="K745" s="14" t="s">
        <v>30</v>
      </c>
      <c r="L745" s="14"/>
      <c r="M745" s="14" t="s">
        <v>1857</v>
      </c>
      <c r="N745" s="7" t="s">
        <v>1862</v>
      </c>
      <c r="O745" s="24" t="s">
        <v>1863</v>
      </c>
      <c r="P745" s="24" t="s">
        <v>1864</v>
      </c>
      <c r="R745" s="14" t="s">
        <v>399</v>
      </c>
      <c r="S745" s="14" t="s">
        <v>163</v>
      </c>
      <c r="T745" s="14" t="s">
        <v>1770</v>
      </c>
      <c r="V745" s="14" t="s">
        <v>1798</v>
      </c>
    </row>
    <row r="746" spans="1:22">
      <c r="A746" s="17">
        <v>389</v>
      </c>
      <c r="B746" s="14" t="s">
        <v>1853</v>
      </c>
      <c r="C746" s="147">
        <v>46204</v>
      </c>
      <c r="D746" s="14" t="s">
        <v>24</v>
      </c>
      <c r="E746" s="14" t="s">
        <v>675</v>
      </c>
      <c r="F746" s="14" t="s">
        <v>26</v>
      </c>
      <c r="G746" s="14" t="s">
        <v>676</v>
      </c>
      <c r="H746" s="14" t="s">
        <v>741</v>
      </c>
      <c r="I746" s="17" t="s">
        <v>579</v>
      </c>
      <c r="J746" s="17">
        <v>5</v>
      </c>
      <c r="K746" s="14" t="s">
        <v>90</v>
      </c>
      <c r="M746" s="14" t="s">
        <v>1865</v>
      </c>
      <c r="N746" s="7" t="s">
        <v>1866</v>
      </c>
      <c r="O746" s="24" t="s">
        <v>1867</v>
      </c>
      <c r="P746" s="24" t="s">
        <v>1868</v>
      </c>
      <c r="R746" s="14" t="s">
        <v>399</v>
      </c>
      <c r="S746" s="14" t="s">
        <v>163</v>
      </c>
      <c r="T746" s="14" t="s">
        <v>1869</v>
      </c>
      <c r="V746" s="14" t="s">
        <v>1798</v>
      </c>
    </row>
  </sheetData>
  <autoFilter ref="A1:W743" xr:uid="{00000000-0001-0000-0000-000000000000}">
    <filterColumn colId="4">
      <filters>
        <filter val="QUICENTRO SHOPPING"/>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42C21-E485-4A32-B62C-A3AD5EA09643}">
  <dimension ref="A1:L225"/>
  <sheetViews>
    <sheetView showGridLines="0" workbookViewId="0">
      <pane ySplit="1" topLeftCell="A2" activePane="bottomLeft" state="frozen"/>
      <selection pane="bottomLeft" activeCell="F14" sqref="F14"/>
    </sheetView>
  </sheetViews>
  <sheetFormatPr defaultColWidth="9.140625" defaultRowHeight="11.25"/>
  <cols>
    <col min="1" max="1" width="9.28515625" style="62" bestFit="1" customWidth="1"/>
    <col min="2" max="2" width="34.42578125" style="62" bestFit="1" customWidth="1"/>
    <col min="3" max="8" width="9.140625" style="132"/>
    <col min="9" max="16384" width="9.140625" style="62"/>
  </cols>
  <sheetData>
    <row r="1" spans="1:12">
      <c r="A1" s="133" t="s">
        <v>1870</v>
      </c>
      <c r="B1" s="133" t="s">
        <v>1871</v>
      </c>
      <c r="C1" s="133" t="s">
        <v>23</v>
      </c>
      <c r="D1" s="133" t="s">
        <v>376</v>
      </c>
      <c r="E1" s="133" t="s">
        <v>740</v>
      </c>
      <c r="F1" s="133" t="s">
        <v>993</v>
      </c>
      <c r="G1" s="133" t="s">
        <v>1287</v>
      </c>
      <c r="H1" s="133" t="s">
        <v>1640</v>
      </c>
      <c r="J1" s="133" t="s">
        <v>1872</v>
      </c>
    </row>
    <row r="2" spans="1:12">
      <c r="A2" s="134" t="s">
        <v>1873</v>
      </c>
      <c r="B2" s="134" t="s">
        <v>27</v>
      </c>
      <c r="C2" s="137">
        <f>+COUNTIFS(GENERAL!$B:$B,'datos por personal'!C$1,GENERAL!$G:$G,'datos por personal'!$B2)</f>
        <v>7</v>
      </c>
      <c r="D2" s="137">
        <f>+COUNTIFS(GENERAL!$B:$B,'datos por personal'!D$1,GENERAL!$G:$G,'datos por personal'!$B2)</f>
        <v>1</v>
      </c>
      <c r="E2" s="137">
        <f>+COUNTIFS(GENERAL!$B:$B,'datos por personal'!E$1,GENERAL!$G:$G,'datos por personal'!$B2)</f>
        <v>2</v>
      </c>
      <c r="F2" s="137">
        <f>+COUNTIFS(GENERAL!$B:$B,'datos por personal'!F$1,GENERAL!$G:$G,'datos por personal'!$B2)</f>
        <v>1</v>
      </c>
      <c r="G2" s="137">
        <f>+COUNTIFS(GENERAL!$B:$B,'datos por personal'!G$1,GENERAL!$G:$G,'datos por personal'!$B2)</f>
        <v>0</v>
      </c>
      <c r="H2" s="137">
        <f>+COUNTIFS(GENERAL!$B:$B,'datos por personal'!H$1,GENERAL!$G:$G,'datos por personal'!$B2)</f>
        <v>0</v>
      </c>
      <c r="J2" s="135">
        <f>+SUM(C2:H2)</f>
        <v>11</v>
      </c>
      <c r="L2" s="62">
        <f>358*2</f>
        <v>716</v>
      </c>
    </row>
    <row r="3" spans="1:12">
      <c r="A3" s="134" t="s">
        <v>1873</v>
      </c>
      <c r="B3" s="134" t="s">
        <v>46</v>
      </c>
      <c r="C3" s="137">
        <f>+COUNTIFS(GENERAL!$B:$B,'datos por personal'!C$1,GENERAL!$G:$G,'datos por personal'!$B3)</f>
        <v>1</v>
      </c>
      <c r="D3" s="137">
        <f>+COUNTIFS(GENERAL!$B:$B,'datos por personal'!D$1,GENERAL!$G:$G,'datos por personal'!$B3)</f>
        <v>0</v>
      </c>
      <c r="E3" s="137">
        <f>+COUNTIFS(GENERAL!$B:$B,'datos por personal'!E$1,GENERAL!$G:$G,'datos por personal'!$B3)</f>
        <v>1</v>
      </c>
      <c r="F3" s="137">
        <f>+COUNTIFS(GENERAL!$B:$B,'datos por personal'!F$1,GENERAL!$G:$G,'datos por personal'!$B3)</f>
        <v>1</v>
      </c>
      <c r="G3" s="137">
        <f>+COUNTIFS(GENERAL!$B:$B,'datos por personal'!G$1,GENERAL!$G:$G,'datos por personal'!$B3)</f>
        <v>2</v>
      </c>
      <c r="H3" s="137">
        <f>+COUNTIFS(GENERAL!$B:$B,'datos por personal'!H$1,GENERAL!$G:$G,'datos por personal'!$B3)</f>
        <v>0</v>
      </c>
      <c r="J3" s="135">
        <f>+SUM(C3:H3)</f>
        <v>5</v>
      </c>
      <c r="L3" s="62" t="b">
        <f>+IF(L2=J225,"ok")</f>
        <v>0</v>
      </c>
    </row>
    <row r="4" spans="1:12">
      <c r="A4" s="134" t="s">
        <v>1873</v>
      </c>
      <c r="B4" s="134" t="s">
        <v>54</v>
      </c>
      <c r="C4" s="137">
        <f>+COUNTIFS(GENERAL!$B:$B,'datos por personal'!C$1,GENERAL!$G:$G,'datos por personal'!$B4)</f>
        <v>3</v>
      </c>
      <c r="D4" s="137">
        <f>+COUNTIFS(GENERAL!$B:$B,'datos por personal'!D$1,GENERAL!$G:$G,'datos por personal'!$B4)</f>
        <v>3</v>
      </c>
      <c r="E4" s="137">
        <f>+COUNTIFS(GENERAL!$B:$B,'datos por personal'!E$1,GENERAL!$G:$G,'datos por personal'!$B4)</f>
        <v>0</v>
      </c>
      <c r="F4" s="137">
        <f>+COUNTIFS(GENERAL!$B:$B,'datos por personal'!F$1,GENERAL!$G:$G,'datos por personal'!$B4)</f>
        <v>0</v>
      </c>
      <c r="G4" s="137">
        <f>+COUNTIFS(GENERAL!$B:$B,'datos por personal'!G$1,GENERAL!$G:$G,'datos por personal'!$B4)</f>
        <v>0</v>
      </c>
      <c r="H4" s="137">
        <f>+COUNTIFS(GENERAL!$B:$B,'datos por personal'!H$1,GENERAL!$G:$G,'datos por personal'!$B4)</f>
        <v>1</v>
      </c>
      <c r="J4" s="135">
        <f>+SUM(C4:H4)</f>
        <v>7</v>
      </c>
    </row>
    <row r="5" spans="1:12">
      <c r="A5" s="134" t="s">
        <v>1873</v>
      </c>
      <c r="B5" s="134" t="s">
        <v>60</v>
      </c>
      <c r="C5" s="137">
        <f>+COUNTIFS(GENERAL!$B:$B,'datos por personal'!C$1,GENERAL!$G:$G,'datos por personal'!$B5)</f>
        <v>3</v>
      </c>
      <c r="D5" s="137">
        <f>+COUNTIFS(GENERAL!$B:$B,'datos por personal'!D$1,GENERAL!$G:$G,'datos por personal'!$B5)</f>
        <v>1</v>
      </c>
      <c r="E5" s="137">
        <f>+COUNTIFS(GENERAL!$B:$B,'datos por personal'!E$1,GENERAL!$G:$G,'datos por personal'!$B5)</f>
        <v>4</v>
      </c>
      <c r="F5" s="137">
        <f>+COUNTIFS(GENERAL!$B:$B,'datos por personal'!F$1,GENERAL!$G:$G,'datos por personal'!$B5)</f>
        <v>3</v>
      </c>
      <c r="G5" s="137">
        <f>+COUNTIFS(GENERAL!$B:$B,'datos por personal'!G$1,GENERAL!$G:$G,'datos por personal'!$B5)</f>
        <v>2</v>
      </c>
      <c r="H5" s="137">
        <f>+COUNTIFS(GENERAL!$B:$B,'datos por personal'!H$1,GENERAL!$G:$G,'datos por personal'!$B5)</f>
        <v>0</v>
      </c>
      <c r="J5" s="135">
        <f>+SUM(C5:H5)</f>
        <v>13</v>
      </c>
    </row>
    <row r="6" spans="1:12">
      <c r="A6" s="134" t="s">
        <v>1873</v>
      </c>
      <c r="B6" s="134" t="s">
        <v>66</v>
      </c>
      <c r="C6" s="137">
        <f>+COUNTIFS(GENERAL!$B:$B,'datos por personal'!C$1,GENERAL!$G:$G,'datos por personal'!$B6)</f>
        <v>4</v>
      </c>
      <c r="D6" s="137">
        <f>+COUNTIFS(GENERAL!$B:$B,'datos por personal'!D$1,GENERAL!$G:$G,'datos por personal'!$B6)</f>
        <v>1</v>
      </c>
      <c r="E6" s="137">
        <f>+COUNTIFS(GENERAL!$B:$B,'datos por personal'!E$1,GENERAL!$G:$G,'datos por personal'!$B6)</f>
        <v>0</v>
      </c>
      <c r="F6" s="137">
        <f>+COUNTIFS(GENERAL!$B:$B,'datos por personal'!F$1,GENERAL!$G:$G,'datos por personal'!$B6)</f>
        <v>0</v>
      </c>
      <c r="G6" s="137">
        <f>+COUNTIFS(GENERAL!$B:$B,'datos por personal'!G$1,GENERAL!$G:$G,'datos por personal'!$B6)</f>
        <v>0</v>
      </c>
      <c r="H6" s="137">
        <f>+COUNTIFS(GENERAL!$B:$B,'datos por personal'!H$1,GENERAL!$G:$G,'datos por personal'!$B6)</f>
        <v>0</v>
      </c>
      <c r="J6" s="135">
        <f>+SUM(C6:H6)</f>
        <v>5</v>
      </c>
    </row>
    <row r="7" spans="1:12">
      <c r="A7" s="134" t="s">
        <v>1873</v>
      </c>
      <c r="B7" s="134" t="s">
        <v>75</v>
      </c>
      <c r="C7" s="137">
        <f>+COUNTIFS(GENERAL!$B:$B,'datos por personal'!C$1,GENERAL!$G:$G,'datos por personal'!$B7)</f>
        <v>1</v>
      </c>
      <c r="D7" s="137">
        <f>+COUNTIFS(GENERAL!$B:$B,'datos por personal'!D$1,GENERAL!$G:$G,'datos por personal'!$B7)</f>
        <v>1</v>
      </c>
      <c r="E7" s="137">
        <f>+COUNTIFS(GENERAL!$B:$B,'datos por personal'!E$1,GENERAL!$G:$G,'datos por personal'!$B7)</f>
        <v>2</v>
      </c>
      <c r="F7" s="137">
        <f>+COUNTIFS(GENERAL!$B:$B,'datos por personal'!F$1,GENERAL!$G:$G,'datos por personal'!$B7)</f>
        <v>0</v>
      </c>
      <c r="G7" s="137">
        <f>+COUNTIFS(GENERAL!$B:$B,'datos por personal'!G$1,GENERAL!$G:$G,'datos por personal'!$B7)</f>
        <v>0</v>
      </c>
      <c r="H7" s="137">
        <f>+COUNTIFS(GENERAL!$B:$B,'datos por personal'!H$1,GENERAL!$G:$G,'datos por personal'!$B7)</f>
        <v>0</v>
      </c>
      <c r="J7" s="135">
        <f>+SUM(C7:H7)</f>
        <v>4</v>
      </c>
    </row>
    <row r="8" spans="1:12">
      <c r="A8" s="134" t="s">
        <v>1873</v>
      </c>
      <c r="B8" s="134" t="s">
        <v>83</v>
      </c>
      <c r="C8" s="137">
        <f>+COUNTIFS(GENERAL!$B:$B,'datos por personal'!C$1,GENERAL!$G:$G,'datos por personal'!$B8)</f>
        <v>8</v>
      </c>
      <c r="D8" s="137">
        <f>+COUNTIFS(GENERAL!$B:$B,'datos por personal'!D$1,GENERAL!$G:$G,'datos por personal'!$B8)</f>
        <v>7</v>
      </c>
      <c r="E8" s="137">
        <f>+COUNTIFS(GENERAL!$B:$B,'datos por personal'!E$1,GENERAL!$G:$G,'datos por personal'!$B8)</f>
        <v>1</v>
      </c>
      <c r="F8" s="137">
        <f>+COUNTIFS(GENERAL!$B:$B,'datos por personal'!F$1,GENERAL!$G:$G,'datos por personal'!$B8)</f>
        <v>2</v>
      </c>
      <c r="G8" s="137">
        <f>+COUNTIFS(GENERAL!$B:$B,'datos por personal'!G$1,GENERAL!$G:$G,'datos por personal'!$B8)</f>
        <v>2</v>
      </c>
      <c r="H8" s="137">
        <f>+COUNTIFS(GENERAL!$B:$B,'datos por personal'!H$1,GENERAL!$G:$G,'datos por personal'!$B8)</f>
        <v>2</v>
      </c>
      <c r="J8" s="135">
        <f>+SUM(C8:H8)</f>
        <v>22</v>
      </c>
    </row>
    <row r="9" spans="1:12">
      <c r="A9" s="134" t="s">
        <v>1873</v>
      </c>
      <c r="B9" s="134" t="s">
        <v>93</v>
      </c>
      <c r="C9" s="137">
        <f>+COUNTIFS(GENERAL!$B:$B,'datos por personal'!C$1,GENERAL!$G:$G,'datos por personal'!$B9)</f>
        <v>1</v>
      </c>
      <c r="D9" s="137">
        <f>+COUNTIFS(GENERAL!$B:$B,'datos por personal'!D$1,GENERAL!$G:$G,'datos por personal'!$B9)</f>
        <v>1</v>
      </c>
      <c r="E9" s="137">
        <f>+COUNTIFS(GENERAL!$B:$B,'datos por personal'!E$1,GENERAL!$G:$G,'datos por personal'!$B9)</f>
        <v>0</v>
      </c>
      <c r="F9" s="137">
        <f>+COUNTIFS(GENERAL!$B:$B,'datos por personal'!F$1,GENERAL!$G:$G,'datos por personal'!$B9)</f>
        <v>0</v>
      </c>
      <c r="G9" s="137">
        <f>+COUNTIFS(GENERAL!$B:$B,'datos por personal'!G$1,GENERAL!$G:$G,'datos por personal'!$B9)</f>
        <v>1</v>
      </c>
      <c r="H9" s="137">
        <f>+COUNTIFS(GENERAL!$B:$B,'datos por personal'!H$1,GENERAL!$G:$G,'datos por personal'!$B9)</f>
        <v>0</v>
      </c>
      <c r="J9" s="135">
        <f>+SUM(C9:H9)</f>
        <v>3</v>
      </c>
    </row>
    <row r="10" spans="1:12">
      <c r="A10" s="134" t="s">
        <v>1873</v>
      </c>
      <c r="B10" s="134" t="s">
        <v>97</v>
      </c>
      <c r="C10" s="137">
        <f>+COUNTIFS(GENERAL!$B:$B,'datos por personal'!C$1,GENERAL!$G:$G,'datos por personal'!$B10)</f>
        <v>3</v>
      </c>
      <c r="D10" s="137">
        <f>+COUNTIFS(GENERAL!$B:$B,'datos por personal'!D$1,GENERAL!$G:$G,'datos por personal'!$B10)</f>
        <v>3</v>
      </c>
      <c r="E10" s="137">
        <f>+COUNTIFS(GENERAL!$B:$B,'datos por personal'!E$1,GENERAL!$G:$G,'datos por personal'!$B10)</f>
        <v>2</v>
      </c>
      <c r="F10" s="137">
        <f>+COUNTIFS(GENERAL!$B:$B,'datos por personal'!F$1,GENERAL!$G:$G,'datos por personal'!$B10)</f>
        <v>2</v>
      </c>
      <c r="G10" s="137">
        <f>+COUNTIFS(GENERAL!$B:$B,'datos por personal'!G$1,GENERAL!$G:$G,'datos por personal'!$B10)</f>
        <v>1</v>
      </c>
      <c r="H10" s="137">
        <f>+COUNTIFS(GENERAL!$B:$B,'datos por personal'!H$1,GENERAL!$G:$G,'datos por personal'!$B10)</f>
        <v>4</v>
      </c>
      <c r="J10" s="135">
        <f>+SUM(C10:H10)</f>
        <v>15</v>
      </c>
    </row>
    <row r="11" spans="1:12">
      <c r="A11" s="134" t="s">
        <v>1873</v>
      </c>
      <c r="B11" s="134" t="s">
        <v>102</v>
      </c>
      <c r="C11" s="137">
        <f>+COUNTIFS(GENERAL!$B:$B,'datos por personal'!C$1,GENERAL!$G:$G,'datos por personal'!$B11)</f>
        <v>1</v>
      </c>
      <c r="D11" s="137">
        <f>+COUNTIFS(GENERAL!$B:$B,'datos por personal'!D$1,GENERAL!$G:$G,'datos por personal'!$B11)</f>
        <v>0</v>
      </c>
      <c r="E11" s="137">
        <f>+COUNTIFS(GENERAL!$B:$B,'datos por personal'!E$1,GENERAL!$G:$G,'datos por personal'!$B11)</f>
        <v>0</v>
      </c>
      <c r="F11" s="137">
        <f>+COUNTIFS(GENERAL!$B:$B,'datos por personal'!F$1,GENERAL!$G:$G,'datos por personal'!$B11)</f>
        <v>0</v>
      </c>
      <c r="G11" s="137">
        <f>+COUNTIFS(GENERAL!$B:$B,'datos por personal'!G$1,GENERAL!$G:$G,'datos por personal'!$B11)</f>
        <v>0</v>
      </c>
      <c r="H11" s="137">
        <f>+COUNTIFS(GENERAL!$B:$B,'datos por personal'!H$1,GENERAL!$G:$G,'datos por personal'!$B11)</f>
        <v>1</v>
      </c>
      <c r="J11" s="135">
        <f>+SUM(C11:H11)</f>
        <v>2</v>
      </c>
    </row>
    <row r="12" spans="1:12">
      <c r="A12" s="134" t="s">
        <v>1873</v>
      </c>
      <c r="B12" s="134" t="s">
        <v>110</v>
      </c>
      <c r="C12" s="137">
        <f>+COUNTIFS(GENERAL!$B:$B,'datos por personal'!C$1,GENERAL!$G:$G,'datos por personal'!$B12)</f>
        <v>2</v>
      </c>
      <c r="D12" s="137">
        <f>+COUNTIFS(GENERAL!$B:$B,'datos por personal'!D$1,GENERAL!$G:$G,'datos por personal'!$B12)</f>
        <v>1</v>
      </c>
      <c r="E12" s="137">
        <f>+COUNTIFS(GENERAL!$B:$B,'datos por personal'!E$1,GENERAL!$G:$G,'datos por personal'!$B12)</f>
        <v>0</v>
      </c>
      <c r="F12" s="137">
        <f>+COUNTIFS(GENERAL!$B:$B,'datos por personal'!F$1,GENERAL!$G:$G,'datos por personal'!$B12)</f>
        <v>0</v>
      </c>
      <c r="G12" s="137">
        <f>+COUNTIFS(GENERAL!$B:$B,'datos por personal'!G$1,GENERAL!$G:$G,'datos por personal'!$B12)</f>
        <v>2</v>
      </c>
      <c r="H12" s="137">
        <f>+COUNTIFS(GENERAL!$B:$B,'datos por personal'!H$1,GENERAL!$G:$G,'datos por personal'!$B12)</f>
        <v>1</v>
      </c>
      <c r="J12" s="135">
        <f>+SUM(C12:H12)</f>
        <v>6</v>
      </c>
    </row>
    <row r="13" spans="1:12">
      <c r="A13" s="134" t="s">
        <v>1873</v>
      </c>
      <c r="B13" s="134" t="s">
        <v>118</v>
      </c>
      <c r="C13" s="137">
        <f>+COUNTIFS(GENERAL!$B:$B,'datos por personal'!C$1,GENERAL!$G:$G,'datos por personal'!$B13)</f>
        <v>2</v>
      </c>
      <c r="D13" s="137">
        <f>+COUNTIFS(GENERAL!$B:$B,'datos por personal'!D$1,GENERAL!$G:$G,'datos por personal'!$B13)</f>
        <v>2</v>
      </c>
      <c r="E13" s="137">
        <f>+COUNTIFS(GENERAL!$B:$B,'datos por personal'!E$1,GENERAL!$G:$G,'datos por personal'!$B13)</f>
        <v>2</v>
      </c>
      <c r="F13" s="137">
        <f>+COUNTIFS(GENERAL!$B:$B,'datos por personal'!F$1,GENERAL!$G:$G,'datos por personal'!$B13)</f>
        <v>2</v>
      </c>
      <c r="G13" s="137">
        <f>+COUNTIFS(GENERAL!$B:$B,'datos por personal'!G$1,GENERAL!$G:$G,'datos por personal'!$B13)</f>
        <v>2</v>
      </c>
      <c r="H13" s="137">
        <f>+COUNTIFS(GENERAL!$B:$B,'datos por personal'!H$1,GENERAL!$G:$G,'datos por personal'!$B13)</f>
        <v>2</v>
      </c>
      <c r="J13" s="135">
        <f>+SUM(C13:H13)</f>
        <v>12</v>
      </c>
    </row>
    <row r="14" spans="1:12">
      <c r="A14" s="134" t="s">
        <v>1873</v>
      </c>
      <c r="B14" s="134" t="s">
        <v>122</v>
      </c>
      <c r="C14" s="137">
        <f>+COUNTIFS(GENERAL!$B:$B,'datos por personal'!C$1,GENERAL!$G:$G,'datos por personal'!$B14)</f>
        <v>1</v>
      </c>
      <c r="D14" s="137">
        <f>+COUNTIFS(GENERAL!$B:$B,'datos por personal'!D$1,GENERAL!$G:$G,'datos por personal'!$B14)</f>
        <v>0</v>
      </c>
      <c r="E14" s="137">
        <f>+COUNTIFS(GENERAL!$B:$B,'datos por personal'!E$1,GENERAL!$G:$G,'datos por personal'!$B14)</f>
        <v>0</v>
      </c>
      <c r="F14" s="137">
        <f>+COUNTIFS(GENERAL!$B:$B,'datos por personal'!F$1,GENERAL!$G:$G,'datos por personal'!$B14)</f>
        <v>0</v>
      </c>
      <c r="G14" s="137">
        <f>+COUNTIFS(GENERAL!$B:$B,'datos por personal'!G$1,GENERAL!$G:$G,'datos por personal'!$B14)</f>
        <v>0</v>
      </c>
      <c r="H14" s="137">
        <f>+COUNTIFS(GENERAL!$B:$B,'datos por personal'!H$1,GENERAL!$G:$G,'datos por personal'!$B14)</f>
        <v>0</v>
      </c>
      <c r="J14" s="135">
        <f>+SUM(C14:H14)</f>
        <v>1</v>
      </c>
    </row>
    <row r="15" spans="1:12">
      <c r="A15" s="134" t="s">
        <v>1873</v>
      </c>
      <c r="B15" s="134" t="s">
        <v>129</v>
      </c>
      <c r="C15" s="137">
        <f>+COUNTIFS(GENERAL!$B:$B,'datos por personal'!C$1,GENERAL!$G:$G,'datos por personal'!$B15)</f>
        <v>1</v>
      </c>
      <c r="D15" s="137">
        <f>+COUNTIFS(GENERAL!$B:$B,'datos por personal'!D$1,GENERAL!$G:$G,'datos por personal'!$B15)</f>
        <v>1</v>
      </c>
      <c r="E15" s="137">
        <f>+COUNTIFS(GENERAL!$B:$B,'datos por personal'!E$1,GENERAL!$G:$G,'datos por personal'!$B15)</f>
        <v>2</v>
      </c>
      <c r="F15" s="137">
        <f>+COUNTIFS(GENERAL!$B:$B,'datos por personal'!F$1,GENERAL!$G:$G,'datos por personal'!$B15)</f>
        <v>0</v>
      </c>
      <c r="G15" s="137">
        <f>+COUNTIFS(GENERAL!$B:$B,'datos por personal'!G$1,GENERAL!$G:$G,'datos por personal'!$B15)</f>
        <v>1</v>
      </c>
      <c r="H15" s="137">
        <f>+COUNTIFS(GENERAL!$B:$B,'datos por personal'!H$1,GENERAL!$G:$G,'datos por personal'!$B15)</f>
        <v>0</v>
      </c>
      <c r="J15" s="135">
        <f>+SUM(C15:H15)</f>
        <v>5</v>
      </c>
    </row>
    <row r="16" spans="1:12">
      <c r="A16" s="134" t="s">
        <v>1873</v>
      </c>
      <c r="B16" s="134" t="s">
        <v>132</v>
      </c>
      <c r="C16" s="137">
        <f>+COUNTIFS(GENERAL!$B:$B,'datos por personal'!C$1,GENERAL!$G:$G,'datos por personal'!$B16)</f>
        <v>1</v>
      </c>
      <c r="D16" s="137">
        <f>+COUNTIFS(GENERAL!$B:$B,'datos por personal'!D$1,GENERAL!$G:$G,'datos por personal'!$B16)</f>
        <v>0</v>
      </c>
      <c r="E16" s="137">
        <f>+COUNTIFS(GENERAL!$B:$B,'datos por personal'!E$1,GENERAL!$G:$G,'datos por personal'!$B16)</f>
        <v>0</v>
      </c>
      <c r="F16" s="137">
        <f>+COUNTIFS(GENERAL!$B:$B,'datos por personal'!F$1,GENERAL!$G:$G,'datos por personal'!$B16)</f>
        <v>0</v>
      </c>
      <c r="G16" s="137">
        <f>+COUNTIFS(GENERAL!$B:$B,'datos por personal'!G$1,GENERAL!$G:$G,'datos por personal'!$B16)</f>
        <v>0</v>
      </c>
      <c r="H16" s="137">
        <f>+COUNTIFS(GENERAL!$B:$B,'datos por personal'!H$1,GENERAL!$G:$G,'datos por personal'!$B16)</f>
        <v>1</v>
      </c>
      <c r="J16" s="135">
        <f>+SUM(C16:H16)</f>
        <v>2</v>
      </c>
    </row>
    <row r="17" spans="1:10">
      <c r="A17" s="134" t="s">
        <v>1873</v>
      </c>
      <c r="B17" s="134" t="s">
        <v>139</v>
      </c>
      <c r="C17" s="137">
        <f>+COUNTIFS(GENERAL!$B:$B,'datos por personal'!C$1,GENERAL!$G:$G,'datos por personal'!$B17)</f>
        <v>4</v>
      </c>
      <c r="D17" s="137">
        <f>+COUNTIFS(GENERAL!$B:$B,'datos por personal'!D$1,GENERAL!$G:$G,'datos por personal'!$B17)</f>
        <v>1</v>
      </c>
      <c r="E17" s="137">
        <f>+COUNTIFS(GENERAL!$B:$B,'datos por personal'!E$1,GENERAL!$G:$G,'datos por personal'!$B17)</f>
        <v>2</v>
      </c>
      <c r="F17" s="137">
        <f>+COUNTIFS(GENERAL!$B:$B,'datos por personal'!F$1,GENERAL!$G:$G,'datos por personal'!$B17)</f>
        <v>0</v>
      </c>
      <c r="G17" s="137">
        <f>+COUNTIFS(GENERAL!$B:$B,'datos por personal'!G$1,GENERAL!$G:$G,'datos por personal'!$B17)</f>
        <v>4</v>
      </c>
      <c r="H17" s="137">
        <f>+COUNTIFS(GENERAL!$B:$B,'datos por personal'!H$1,GENERAL!$G:$G,'datos por personal'!$B17)</f>
        <v>3</v>
      </c>
      <c r="J17" s="135">
        <f t="shared" ref="J3:J66" si="0">+SUM(C17:H17)</f>
        <v>14</v>
      </c>
    </row>
    <row r="18" spans="1:10">
      <c r="A18" s="134" t="s">
        <v>1873</v>
      </c>
      <c r="B18" s="134" t="s">
        <v>144</v>
      </c>
      <c r="C18" s="137">
        <f>+COUNTIFS(GENERAL!$B:$B,'datos por personal'!C$1,GENERAL!$G:$G,'datos por personal'!$B18)</f>
        <v>5</v>
      </c>
      <c r="D18" s="137">
        <f>+COUNTIFS(GENERAL!$B:$B,'datos por personal'!D$1,GENERAL!$G:$G,'datos por personal'!$B18)</f>
        <v>2</v>
      </c>
      <c r="E18" s="137">
        <f>+COUNTIFS(GENERAL!$B:$B,'datos por personal'!E$1,GENERAL!$G:$G,'datos por personal'!$B18)</f>
        <v>1</v>
      </c>
      <c r="F18" s="137">
        <f>+COUNTIFS(GENERAL!$B:$B,'datos por personal'!F$1,GENERAL!$G:$G,'datos por personal'!$B18)</f>
        <v>4</v>
      </c>
      <c r="G18" s="137">
        <f>+COUNTIFS(GENERAL!$B:$B,'datos por personal'!G$1,GENERAL!$G:$G,'datos por personal'!$B18)</f>
        <v>3</v>
      </c>
      <c r="H18" s="137">
        <f>+COUNTIFS(GENERAL!$B:$B,'datos por personal'!H$1,GENERAL!$G:$G,'datos por personal'!$B18)</f>
        <v>1</v>
      </c>
      <c r="J18" s="135">
        <f t="shared" si="0"/>
        <v>16</v>
      </c>
    </row>
    <row r="19" spans="1:10">
      <c r="A19" s="134" t="s">
        <v>1873</v>
      </c>
      <c r="B19" s="134" t="s">
        <v>150</v>
      </c>
      <c r="C19" s="137">
        <f>+COUNTIFS(GENERAL!$B:$B,'datos por personal'!C$1,GENERAL!$G:$G,'datos por personal'!$B19)</f>
        <v>1</v>
      </c>
      <c r="D19" s="137">
        <f>+COUNTIFS(GENERAL!$B:$B,'datos por personal'!D$1,GENERAL!$G:$G,'datos por personal'!$B19)</f>
        <v>0</v>
      </c>
      <c r="E19" s="137">
        <f>+COUNTIFS(GENERAL!$B:$B,'datos por personal'!E$1,GENERAL!$G:$G,'datos por personal'!$B19)</f>
        <v>0</v>
      </c>
      <c r="F19" s="137">
        <f>+COUNTIFS(GENERAL!$B:$B,'datos por personal'!F$1,GENERAL!$G:$G,'datos por personal'!$B19)</f>
        <v>0</v>
      </c>
      <c r="G19" s="137">
        <f>+COUNTIFS(GENERAL!$B:$B,'datos por personal'!G$1,GENERAL!$G:$G,'datos por personal'!$B19)</f>
        <v>1</v>
      </c>
      <c r="H19" s="137">
        <f>+COUNTIFS(GENERAL!$B:$B,'datos por personal'!H$1,GENERAL!$G:$G,'datos por personal'!$B19)</f>
        <v>0</v>
      </c>
      <c r="J19" s="135">
        <f t="shared" si="0"/>
        <v>2</v>
      </c>
    </row>
    <row r="20" spans="1:10">
      <c r="A20" s="134" t="s">
        <v>1873</v>
      </c>
      <c r="B20" s="134" t="s">
        <v>153</v>
      </c>
      <c r="C20" s="137">
        <f>+COUNTIFS(GENERAL!$B:$B,'datos por personal'!C$1,GENERAL!$G:$G,'datos por personal'!$B20)</f>
        <v>3</v>
      </c>
      <c r="D20" s="137">
        <f>+COUNTIFS(GENERAL!$B:$B,'datos por personal'!D$1,GENERAL!$G:$G,'datos por personal'!$B20)</f>
        <v>0</v>
      </c>
      <c r="E20" s="137">
        <f>+COUNTIFS(GENERAL!$B:$B,'datos por personal'!E$1,GENERAL!$G:$G,'datos por personal'!$B20)</f>
        <v>0</v>
      </c>
      <c r="F20" s="137">
        <f>+COUNTIFS(GENERAL!$B:$B,'datos por personal'!F$1,GENERAL!$G:$G,'datos por personal'!$B20)</f>
        <v>2</v>
      </c>
      <c r="G20" s="137">
        <f>+COUNTIFS(GENERAL!$B:$B,'datos por personal'!G$1,GENERAL!$G:$G,'datos por personal'!$B20)</f>
        <v>1</v>
      </c>
      <c r="H20" s="137">
        <f>+COUNTIFS(GENERAL!$B:$B,'datos por personal'!H$1,GENERAL!$G:$G,'datos por personal'!$B20)</f>
        <v>0</v>
      </c>
      <c r="J20" s="135">
        <f t="shared" si="0"/>
        <v>6</v>
      </c>
    </row>
    <row r="21" spans="1:10">
      <c r="A21" s="134" t="s">
        <v>1873</v>
      </c>
      <c r="B21" s="134" t="s">
        <v>168</v>
      </c>
      <c r="C21" s="137">
        <f>+COUNTIFS(GENERAL!$B:$B,'datos por personal'!C$1,GENERAL!$G:$G,'datos por personal'!$B21)</f>
        <v>2</v>
      </c>
      <c r="D21" s="137">
        <f>+COUNTIFS(GENERAL!$B:$B,'datos por personal'!D$1,GENERAL!$G:$G,'datos por personal'!$B21)</f>
        <v>0</v>
      </c>
      <c r="E21" s="137">
        <f>+COUNTIFS(GENERAL!$B:$B,'datos por personal'!E$1,GENERAL!$G:$G,'datos por personal'!$B21)</f>
        <v>0</v>
      </c>
      <c r="F21" s="137">
        <f>+COUNTIFS(GENERAL!$B:$B,'datos por personal'!F$1,GENERAL!$G:$G,'datos por personal'!$B21)</f>
        <v>0</v>
      </c>
      <c r="G21" s="137">
        <f>+COUNTIFS(GENERAL!$B:$B,'datos por personal'!G$1,GENERAL!$G:$G,'datos por personal'!$B21)</f>
        <v>0</v>
      </c>
      <c r="H21" s="137">
        <f>+COUNTIFS(GENERAL!$B:$B,'datos por personal'!H$1,GENERAL!$G:$G,'datos por personal'!$B21)</f>
        <v>0</v>
      </c>
      <c r="J21" s="135">
        <f t="shared" si="0"/>
        <v>2</v>
      </c>
    </row>
    <row r="22" spans="1:10">
      <c r="A22" s="134" t="s">
        <v>1873</v>
      </c>
      <c r="B22" s="134" t="s">
        <v>179</v>
      </c>
      <c r="C22" s="137">
        <f>+COUNTIFS(GENERAL!$B:$B,'datos por personal'!C$1,GENERAL!$G:$G,'datos por personal'!$B22)</f>
        <v>2</v>
      </c>
      <c r="D22" s="137">
        <f>+COUNTIFS(GENERAL!$B:$B,'datos por personal'!D$1,GENERAL!$G:$G,'datos por personal'!$B22)</f>
        <v>2</v>
      </c>
      <c r="E22" s="137">
        <f>+COUNTIFS(GENERAL!$B:$B,'datos por personal'!E$1,GENERAL!$G:$G,'datos por personal'!$B22)</f>
        <v>0</v>
      </c>
      <c r="F22" s="137">
        <f>+COUNTIFS(GENERAL!$B:$B,'datos por personal'!F$1,GENERAL!$G:$G,'datos por personal'!$B22)</f>
        <v>0</v>
      </c>
      <c r="G22" s="137">
        <f>+COUNTIFS(GENERAL!$B:$B,'datos por personal'!G$1,GENERAL!$G:$G,'datos por personal'!$B22)</f>
        <v>0</v>
      </c>
      <c r="H22" s="137">
        <f>+COUNTIFS(GENERAL!$B:$B,'datos por personal'!H$1,GENERAL!$G:$G,'datos por personal'!$B22)</f>
        <v>0</v>
      </c>
      <c r="J22" s="135">
        <f t="shared" si="0"/>
        <v>4</v>
      </c>
    </row>
    <row r="23" spans="1:10">
      <c r="A23" s="134" t="s">
        <v>1873</v>
      </c>
      <c r="B23" s="134" t="s">
        <v>187</v>
      </c>
      <c r="C23" s="137">
        <f>+COUNTIFS(GENERAL!$B:$B,'datos por personal'!C$1,GENERAL!$G:$G,'datos por personal'!$B23)</f>
        <v>3</v>
      </c>
      <c r="D23" s="137">
        <f>+COUNTIFS(GENERAL!$B:$B,'datos por personal'!D$1,GENERAL!$G:$G,'datos por personal'!$B23)</f>
        <v>0</v>
      </c>
      <c r="E23" s="137">
        <f>+COUNTIFS(GENERAL!$B:$B,'datos por personal'!E$1,GENERAL!$G:$G,'datos por personal'!$B23)</f>
        <v>0</v>
      </c>
      <c r="F23" s="137">
        <f>+COUNTIFS(GENERAL!$B:$B,'datos por personal'!F$1,GENERAL!$G:$G,'datos por personal'!$B23)</f>
        <v>0</v>
      </c>
      <c r="G23" s="137">
        <f>+COUNTIFS(GENERAL!$B:$B,'datos por personal'!G$1,GENERAL!$G:$G,'datos por personal'!$B23)</f>
        <v>0</v>
      </c>
      <c r="H23" s="137">
        <f>+COUNTIFS(GENERAL!$B:$B,'datos por personal'!H$1,GENERAL!$G:$G,'datos por personal'!$B23)</f>
        <v>0</v>
      </c>
      <c r="J23" s="135">
        <f t="shared" si="0"/>
        <v>3</v>
      </c>
    </row>
    <row r="24" spans="1:10">
      <c r="A24" s="134" t="s">
        <v>1873</v>
      </c>
      <c r="B24" s="134" t="s">
        <v>199</v>
      </c>
      <c r="C24" s="137">
        <f>+COUNTIFS(GENERAL!$B:$B,'datos por personal'!C$1,GENERAL!$G:$G,'datos por personal'!$B24)</f>
        <v>2</v>
      </c>
      <c r="D24" s="137">
        <f>+COUNTIFS(GENERAL!$B:$B,'datos por personal'!D$1,GENERAL!$G:$G,'datos por personal'!$B24)</f>
        <v>0</v>
      </c>
      <c r="E24" s="137">
        <f>+COUNTIFS(GENERAL!$B:$B,'datos por personal'!E$1,GENERAL!$G:$G,'datos por personal'!$B24)</f>
        <v>0</v>
      </c>
      <c r="F24" s="137">
        <f>+COUNTIFS(GENERAL!$B:$B,'datos por personal'!F$1,GENERAL!$G:$G,'datos por personal'!$B24)</f>
        <v>0</v>
      </c>
      <c r="G24" s="137">
        <f>+COUNTIFS(GENERAL!$B:$B,'datos por personal'!G$1,GENERAL!$G:$G,'datos por personal'!$B24)</f>
        <v>1</v>
      </c>
      <c r="H24" s="137">
        <f>+COUNTIFS(GENERAL!$B:$B,'datos por personal'!H$1,GENERAL!$G:$G,'datos por personal'!$B24)</f>
        <v>1</v>
      </c>
      <c r="J24" s="135">
        <f t="shared" si="0"/>
        <v>4</v>
      </c>
    </row>
    <row r="25" spans="1:10">
      <c r="A25" s="134" t="s">
        <v>1873</v>
      </c>
      <c r="B25" s="134" t="s">
        <v>212</v>
      </c>
      <c r="C25" s="137">
        <f>+COUNTIFS(GENERAL!$B:$B,'datos por personal'!C$1,GENERAL!$G:$G,'datos por personal'!$B25)</f>
        <v>3</v>
      </c>
      <c r="D25" s="137">
        <f>+COUNTIFS(GENERAL!$B:$B,'datos por personal'!D$1,GENERAL!$G:$G,'datos por personal'!$B25)</f>
        <v>5</v>
      </c>
      <c r="E25" s="137">
        <f>+COUNTIFS(GENERAL!$B:$B,'datos por personal'!E$1,GENERAL!$G:$G,'datos por personal'!$B25)</f>
        <v>1</v>
      </c>
      <c r="F25" s="137">
        <f>+COUNTIFS(GENERAL!$B:$B,'datos por personal'!F$1,GENERAL!$G:$G,'datos por personal'!$B25)</f>
        <v>2</v>
      </c>
      <c r="G25" s="137">
        <f>+COUNTIFS(GENERAL!$B:$B,'datos por personal'!G$1,GENERAL!$G:$G,'datos por personal'!$B25)</f>
        <v>2</v>
      </c>
      <c r="H25" s="137">
        <f>+COUNTIFS(GENERAL!$B:$B,'datos por personal'!H$1,GENERAL!$G:$G,'datos por personal'!$B25)</f>
        <v>3</v>
      </c>
      <c r="J25" s="135">
        <f t="shared" si="0"/>
        <v>16</v>
      </c>
    </row>
    <row r="26" spans="1:10">
      <c r="A26" s="134" t="s">
        <v>1873</v>
      </c>
      <c r="B26" s="134" t="s">
        <v>217</v>
      </c>
      <c r="C26" s="137">
        <f>+COUNTIFS(GENERAL!$B:$B,'datos por personal'!C$1,GENERAL!$G:$G,'datos por personal'!$B26)</f>
        <v>2</v>
      </c>
      <c r="D26" s="137">
        <f>+COUNTIFS(GENERAL!$B:$B,'datos por personal'!D$1,GENERAL!$G:$G,'datos por personal'!$B26)</f>
        <v>0</v>
      </c>
      <c r="E26" s="137">
        <f>+COUNTIFS(GENERAL!$B:$B,'datos por personal'!E$1,GENERAL!$G:$G,'datos por personal'!$B26)</f>
        <v>0</v>
      </c>
      <c r="F26" s="137">
        <f>+COUNTIFS(GENERAL!$B:$B,'datos por personal'!F$1,GENERAL!$G:$G,'datos por personal'!$B26)</f>
        <v>1</v>
      </c>
      <c r="G26" s="137">
        <f>+COUNTIFS(GENERAL!$B:$B,'datos por personal'!G$1,GENERAL!$G:$G,'datos por personal'!$B26)</f>
        <v>2</v>
      </c>
      <c r="H26" s="137">
        <f>+COUNTIFS(GENERAL!$B:$B,'datos por personal'!H$1,GENERAL!$G:$G,'datos por personal'!$B26)</f>
        <v>1</v>
      </c>
      <c r="J26" s="135">
        <f t="shared" si="0"/>
        <v>6</v>
      </c>
    </row>
    <row r="27" spans="1:10">
      <c r="A27" s="134" t="s">
        <v>1873</v>
      </c>
      <c r="B27" s="134" t="s">
        <v>225</v>
      </c>
      <c r="C27" s="137">
        <f>+COUNTIFS(GENERAL!$B:$B,'datos por personal'!C$1,GENERAL!$G:$G,'datos por personal'!$B27)</f>
        <v>6</v>
      </c>
      <c r="D27" s="137">
        <f>+COUNTIFS(GENERAL!$B:$B,'datos por personal'!D$1,GENERAL!$G:$G,'datos por personal'!$B27)</f>
        <v>3</v>
      </c>
      <c r="E27" s="137">
        <f>+COUNTIFS(GENERAL!$B:$B,'datos por personal'!E$1,GENERAL!$G:$G,'datos por personal'!$B27)</f>
        <v>2</v>
      </c>
      <c r="F27" s="137">
        <f>+COUNTIFS(GENERAL!$B:$B,'datos por personal'!F$1,GENERAL!$G:$G,'datos por personal'!$B27)</f>
        <v>0</v>
      </c>
      <c r="G27" s="137">
        <f>+COUNTIFS(GENERAL!$B:$B,'datos por personal'!G$1,GENERAL!$G:$G,'datos por personal'!$B27)</f>
        <v>2</v>
      </c>
      <c r="H27" s="137">
        <f>+COUNTIFS(GENERAL!$B:$B,'datos por personal'!H$1,GENERAL!$G:$G,'datos por personal'!$B27)</f>
        <v>0</v>
      </c>
      <c r="J27" s="135">
        <f t="shared" si="0"/>
        <v>13</v>
      </c>
    </row>
    <row r="28" spans="1:10">
      <c r="A28" s="134" t="s">
        <v>1873</v>
      </c>
      <c r="B28" s="134" t="s">
        <v>237</v>
      </c>
      <c r="C28" s="137">
        <f>+COUNTIFS(GENERAL!$B:$B,'datos por personal'!C$1,GENERAL!$G:$G,'datos por personal'!$B28)</f>
        <v>1</v>
      </c>
      <c r="D28" s="137">
        <f>+COUNTIFS(GENERAL!$B:$B,'datos por personal'!D$1,GENERAL!$G:$G,'datos por personal'!$B28)</f>
        <v>0</v>
      </c>
      <c r="E28" s="137">
        <f>+COUNTIFS(GENERAL!$B:$B,'datos por personal'!E$1,GENERAL!$G:$G,'datos por personal'!$B28)</f>
        <v>0</v>
      </c>
      <c r="F28" s="137">
        <f>+COUNTIFS(GENERAL!$B:$B,'datos por personal'!F$1,GENERAL!$G:$G,'datos por personal'!$B28)</f>
        <v>0</v>
      </c>
      <c r="G28" s="137">
        <f>+COUNTIFS(GENERAL!$B:$B,'datos por personal'!G$1,GENERAL!$G:$G,'datos por personal'!$B28)</f>
        <v>0</v>
      </c>
      <c r="H28" s="137">
        <f>+COUNTIFS(GENERAL!$B:$B,'datos por personal'!H$1,GENERAL!$G:$G,'datos por personal'!$B28)</f>
        <v>0</v>
      </c>
      <c r="J28" s="135">
        <f t="shared" si="0"/>
        <v>1</v>
      </c>
    </row>
    <row r="29" spans="1:10">
      <c r="A29" s="134" t="s">
        <v>1873</v>
      </c>
      <c r="B29" s="134" t="s">
        <v>252</v>
      </c>
      <c r="C29" s="137">
        <f>+COUNTIFS(GENERAL!$B:$B,'datos por personal'!C$1,GENERAL!$G:$G,'datos por personal'!$B29)</f>
        <v>1</v>
      </c>
      <c r="D29" s="137">
        <f>+COUNTIFS(GENERAL!$B:$B,'datos por personal'!D$1,GENERAL!$G:$G,'datos por personal'!$B29)</f>
        <v>0</v>
      </c>
      <c r="E29" s="137">
        <f>+COUNTIFS(GENERAL!$B:$B,'datos por personal'!E$1,GENERAL!$G:$G,'datos por personal'!$B29)</f>
        <v>1</v>
      </c>
      <c r="F29" s="137">
        <f>+COUNTIFS(GENERAL!$B:$B,'datos por personal'!F$1,GENERAL!$G:$G,'datos por personal'!$B29)</f>
        <v>1</v>
      </c>
      <c r="G29" s="137">
        <f>+COUNTIFS(GENERAL!$B:$B,'datos por personal'!G$1,GENERAL!$G:$G,'datos por personal'!$B29)</f>
        <v>0</v>
      </c>
      <c r="H29" s="137">
        <f>+COUNTIFS(GENERAL!$B:$B,'datos por personal'!H$1,GENERAL!$G:$G,'datos por personal'!$B29)</f>
        <v>0</v>
      </c>
      <c r="J29" s="135">
        <f t="shared" si="0"/>
        <v>3</v>
      </c>
    </row>
    <row r="30" spans="1:10">
      <c r="A30" s="134" t="s">
        <v>1873</v>
      </c>
      <c r="B30" s="134" t="s">
        <v>264</v>
      </c>
      <c r="C30" s="137">
        <f>+COUNTIFS(GENERAL!$B:$B,'datos por personal'!C$1,GENERAL!$G:$G,'datos por personal'!$B30)</f>
        <v>4</v>
      </c>
      <c r="D30" s="137">
        <f>+COUNTIFS(GENERAL!$B:$B,'datos por personal'!D$1,GENERAL!$G:$G,'datos por personal'!$B30)</f>
        <v>6</v>
      </c>
      <c r="E30" s="137">
        <f>+COUNTIFS(GENERAL!$B:$B,'datos por personal'!E$1,GENERAL!$G:$G,'datos por personal'!$B30)</f>
        <v>1</v>
      </c>
      <c r="F30" s="137">
        <f>+COUNTIFS(GENERAL!$B:$B,'datos por personal'!F$1,GENERAL!$G:$G,'datos por personal'!$B30)</f>
        <v>1</v>
      </c>
      <c r="G30" s="137">
        <f>+COUNTIFS(GENERAL!$B:$B,'datos por personal'!G$1,GENERAL!$G:$G,'datos por personal'!$B30)</f>
        <v>1</v>
      </c>
      <c r="H30" s="137">
        <f>+COUNTIFS(GENERAL!$B:$B,'datos por personal'!H$1,GENERAL!$G:$G,'datos por personal'!$B30)</f>
        <v>0</v>
      </c>
      <c r="J30" s="135">
        <f t="shared" si="0"/>
        <v>13</v>
      </c>
    </row>
    <row r="31" spans="1:10">
      <c r="A31" s="134" t="s">
        <v>1873</v>
      </c>
      <c r="B31" s="134" t="s">
        <v>269</v>
      </c>
      <c r="C31" s="137">
        <f>+COUNTIFS(GENERAL!$B:$B,'datos por personal'!C$1,GENERAL!$G:$G,'datos por personal'!$B31)</f>
        <v>1</v>
      </c>
      <c r="D31" s="137">
        <f>+COUNTIFS(GENERAL!$B:$B,'datos por personal'!D$1,GENERAL!$G:$G,'datos por personal'!$B31)</f>
        <v>0</v>
      </c>
      <c r="E31" s="137">
        <f>+COUNTIFS(GENERAL!$B:$B,'datos por personal'!E$1,GENERAL!$G:$G,'datos por personal'!$B31)</f>
        <v>1</v>
      </c>
      <c r="F31" s="137">
        <f>+COUNTIFS(GENERAL!$B:$B,'datos por personal'!F$1,GENERAL!$G:$G,'datos por personal'!$B31)</f>
        <v>3</v>
      </c>
      <c r="G31" s="137">
        <f>+COUNTIFS(GENERAL!$B:$B,'datos por personal'!G$1,GENERAL!$G:$G,'datos por personal'!$B31)</f>
        <v>0</v>
      </c>
      <c r="H31" s="137">
        <f>+COUNTIFS(GENERAL!$B:$B,'datos por personal'!H$1,GENERAL!$G:$G,'datos por personal'!$B31)</f>
        <v>2</v>
      </c>
      <c r="J31" s="135">
        <f t="shared" si="0"/>
        <v>7</v>
      </c>
    </row>
    <row r="32" spans="1:10">
      <c r="A32" s="134" t="s">
        <v>1873</v>
      </c>
      <c r="B32" s="134" t="s">
        <v>284</v>
      </c>
      <c r="C32" s="137">
        <f>+COUNTIFS(GENERAL!$B:$B,'datos por personal'!C$1,GENERAL!$G:$G,'datos por personal'!$B32)</f>
        <v>1</v>
      </c>
      <c r="D32" s="137">
        <f>+COUNTIFS(GENERAL!$B:$B,'datos por personal'!D$1,GENERAL!$G:$G,'datos por personal'!$B32)</f>
        <v>0</v>
      </c>
      <c r="E32" s="137">
        <f>+COUNTIFS(GENERAL!$B:$B,'datos por personal'!E$1,GENERAL!$G:$G,'datos por personal'!$B32)</f>
        <v>2</v>
      </c>
      <c r="F32" s="137">
        <f>+COUNTIFS(GENERAL!$B:$B,'datos por personal'!F$1,GENERAL!$G:$G,'datos por personal'!$B32)</f>
        <v>1</v>
      </c>
      <c r="G32" s="137">
        <f>+COUNTIFS(GENERAL!$B:$B,'datos por personal'!G$1,GENERAL!$G:$G,'datos por personal'!$B32)</f>
        <v>0</v>
      </c>
      <c r="H32" s="137">
        <f>+COUNTIFS(GENERAL!$B:$B,'datos por personal'!H$1,GENERAL!$G:$G,'datos por personal'!$B32)</f>
        <v>0</v>
      </c>
      <c r="J32" s="135">
        <f t="shared" si="0"/>
        <v>4</v>
      </c>
    </row>
    <row r="33" spans="1:10">
      <c r="A33" s="134" t="s">
        <v>1873</v>
      </c>
      <c r="B33" s="134" t="s">
        <v>290</v>
      </c>
      <c r="C33" s="137">
        <f>+COUNTIFS(GENERAL!$B:$B,'datos por personal'!C$1,GENERAL!$G:$G,'datos por personal'!$B33)</f>
        <v>1</v>
      </c>
      <c r="D33" s="137">
        <f>+COUNTIFS(GENERAL!$B:$B,'datos por personal'!D$1,GENERAL!$G:$G,'datos por personal'!$B33)</f>
        <v>6</v>
      </c>
      <c r="E33" s="137">
        <f>+COUNTIFS(GENERAL!$B:$B,'datos por personal'!E$1,GENERAL!$G:$G,'datos por personal'!$B33)</f>
        <v>1</v>
      </c>
      <c r="F33" s="137">
        <f>+COUNTIFS(GENERAL!$B:$B,'datos por personal'!F$1,GENERAL!$G:$G,'datos por personal'!$B33)</f>
        <v>0</v>
      </c>
      <c r="G33" s="137">
        <f>+COUNTIFS(GENERAL!$B:$B,'datos por personal'!G$1,GENERAL!$G:$G,'datos por personal'!$B33)</f>
        <v>2</v>
      </c>
      <c r="H33" s="137">
        <f>+COUNTIFS(GENERAL!$B:$B,'datos por personal'!H$1,GENERAL!$G:$G,'datos por personal'!$B33)</f>
        <v>0</v>
      </c>
      <c r="J33" s="135">
        <f t="shared" si="0"/>
        <v>10</v>
      </c>
    </row>
    <row r="34" spans="1:10">
      <c r="A34" s="134" t="s">
        <v>1873</v>
      </c>
      <c r="B34" s="134" t="s">
        <v>293</v>
      </c>
      <c r="C34" s="137">
        <f>+COUNTIFS(GENERAL!$B:$B,'datos por personal'!C$1,GENERAL!$G:$G,'datos por personal'!$B34)</f>
        <v>1</v>
      </c>
      <c r="D34" s="137">
        <f>+COUNTIFS(GENERAL!$B:$B,'datos por personal'!D$1,GENERAL!$G:$G,'datos por personal'!$B34)</f>
        <v>2</v>
      </c>
      <c r="E34" s="137">
        <f>+COUNTIFS(GENERAL!$B:$B,'datos por personal'!E$1,GENERAL!$G:$G,'datos por personal'!$B34)</f>
        <v>0</v>
      </c>
      <c r="F34" s="137">
        <f>+COUNTIFS(GENERAL!$B:$B,'datos por personal'!F$1,GENERAL!$G:$G,'datos por personal'!$B34)</f>
        <v>0</v>
      </c>
      <c r="G34" s="137">
        <f>+COUNTIFS(GENERAL!$B:$B,'datos por personal'!G$1,GENERAL!$G:$G,'datos por personal'!$B34)</f>
        <v>0</v>
      </c>
      <c r="H34" s="137">
        <f>+COUNTIFS(GENERAL!$B:$B,'datos por personal'!H$1,GENERAL!$G:$G,'datos por personal'!$B34)</f>
        <v>0</v>
      </c>
      <c r="J34" s="135">
        <f t="shared" si="0"/>
        <v>3</v>
      </c>
    </row>
    <row r="35" spans="1:10">
      <c r="A35" s="134" t="s">
        <v>1873</v>
      </c>
      <c r="B35" s="134" t="s">
        <v>310</v>
      </c>
      <c r="C35" s="137">
        <f>+COUNTIFS(GENERAL!$B:$B,'datos por personal'!C$1,GENERAL!$G:$G,'datos por personal'!$B35)</f>
        <v>1</v>
      </c>
      <c r="D35" s="137">
        <f>+COUNTIFS(GENERAL!$B:$B,'datos por personal'!D$1,GENERAL!$G:$G,'datos por personal'!$B35)</f>
        <v>1</v>
      </c>
      <c r="E35" s="137">
        <f>+COUNTIFS(GENERAL!$B:$B,'datos por personal'!E$1,GENERAL!$G:$G,'datos por personal'!$B35)</f>
        <v>0</v>
      </c>
      <c r="F35" s="137">
        <f>+COUNTIFS(GENERAL!$B:$B,'datos por personal'!F$1,GENERAL!$G:$G,'datos por personal'!$B35)</f>
        <v>0</v>
      </c>
      <c r="G35" s="137">
        <f>+COUNTIFS(GENERAL!$B:$B,'datos por personal'!G$1,GENERAL!$G:$G,'datos por personal'!$B35)</f>
        <v>1</v>
      </c>
      <c r="H35" s="137">
        <f>+COUNTIFS(GENERAL!$B:$B,'datos por personal'!H$1,GENERAL!$G:$G,'datos por personal'!$B35)</f>
        <v>0</v>
      </c>
      <c r="J35" s="135">
        <f t="shared" si="0"/>
        <v>3</v>
      </c>
    </row>
    <row r="36" spans="1:10">
      <c r="A36" s="134" t="s">
        <v>1873</v>
      </c>
      <c r="B36" s="136" t="s">
        <v>322</v>
      </c>
      <c r="C36" s="137">
        <f>+COUNTIFS(GENERAL!$B:$B,'datos por personal'!C$1,GENERAL!$G:$G,'datos por personal'!$B36)</f>
        <v>1</v>
      </c>
      <c r="D36" s="137">
        <f>+COUNTIFS(GENERAL!$B:$B,'datos por personal'!D$1,GENERAL!$G:$G,'datos por personal'!$B36)</f>
        <v>0</v>
      </c>
      <c r="E36" s="137">
        <f>+COUNTIFS(GENERAL!$B:$B,'datos por personal'!E$1,GENERAL!$G:$G,'datos por personal'!$B36)</f>
        <v>0</v>
      </c>
      <c r="F36" s="137">
        <f>+COUNTIFS(GENERAL!$B:$B,'datos por personal'!F$1,GENERAL!$G:$G,'datos por personal'!$B36)</f>
        <v>0</v>
      </c>
      <c r="G36" s="137">
        <f>+COUNTIFS(GENERAL!$B:$B,'datos por personal'!G$1,GENERAL!$G:$G,'datos por personal'!$B36)</f>
        <v>1</v>
      </c>
      <c r="H36" s="137">
        <f>+COUNTIFS(GENERAL!$B:$B,'datos por personal'!H$1,GENERAL!$G:$G,'datos por personal'!$B36)</f>
        <v>0</v>
      </c>
      <c r="J36" s="135">
        <f t="shared" si="0"/>
        <v>2</v>
      </c>
    </row>
    <row r="37" spans="1:10">
      <c r="A37" s="134" t="s">
        <v>1873</v>
      </c>
      <c r="B37" s="134" t="s">
        <v>329</v>
      </c>
      <c r="C37" s="137">
        <f>+COUNTIFS(GENERAL!$B:$B,'datos por personal'!C$1,GENERAL!$G:$G,'datos por personal'!$B37)</f>
        <v>1</v>
      </c>
      <c r="D37" s="137">
        <f>+COUNTIFS(GENERAL!$B:$B,'datos por personal'!D$1,GENERAL!$G:$G,'datos por personal'!$B37)</f>
        <v>0</v>
      </c>
      <c r="E37" s="137">
        <f>+COUNTIFS(GENERAL!$B:$B,'datos por personal'!E$1,GENERAL!$G:$G,'datos por personal'!$B37)</f>
        <v>0</v>
      </c>
      <c r="F37" s="137">
        <f>+COUNTIFS(GENERAL!$B:$B,'datos por personal'!F$1,GENERAL!$G:$G,'datos por personal'!$B37)</f>
        <v>0</v>
      </c>
      <c r="G37" s="137">
        <f>+COUNTIFS(GENERAL!$B:$B,'datos por personal'!G$1,GENERAL!$G:$G,'datos por personal'!$B37)</f>
        <v>0</v>
      </c>
      <c r="H37" s="137">
        <f>+COUNTIFS(GENERAL!$B:$B,'datos por personal'!H$1,GENERAL!$G:$G,'datos por personal'!$B37)</f>
        <v>1</v>
      </c>
      <c r="J37" s="135">
        <f t="shared" si="0"/>
        <v>2</v>
      </c>
    </row>
    <row r="38" spans="1:10">
      <c r="A38" s="134" t="s">
        <v>1873</v>
      </c>
      <c r="B38" s="134" t="s">
        <v>333</v>
      </c>
      <c r="C38" s="137">
        <f>+COUNTIFS(GENERAL!$B:$B,'datos por personal'!C$1,GENERAL!$G:$G,'datos por personal'!$B38)</f>
        <v>1</v>
      </c>
      <c r="D38" s="137">
        <f>+COUNTIFS(GENERAL!$B:$B,'datos por personal'!D$1,GENERAL!$G:$G,'datos por personal'!$B38)</f>
        <v>0</v>
      </c>
      <c r="E38" s="137">
        <f>+COUNTIFS(GENERAL!$B:$B,'datos por personal'!E$1,GENERAL!$G:$G,'datos por personal'!$B38)</f>
        <v>1</v>
      </c>
      <c r="F38" s="137">
        <f>+COUNTIFS(GENERAL!$B:$B,'datos por personal'!F$1,GENERAL!$G:$G,'datos por personal'!$B38)</f>
        <v>0</v>
      </c>
      <c r="G38" s="137">
        <f>+COUNTIFS(GENERAL!$B:$B,'datos por personal'!G$1,GENERAL!$G:$G,'datos por personal'!$B38)</f>
        <v>0</v>
      </c>
      <c r="H38" s="137">
        <f>+COUNTIFS(GENERAL!$B:$B,'datos por personal'!H$1,GENERAL!$G:$G,'datos por personal'!$B38)</f>
        <v>0</v>
      </c>
      <c r="J38" s="135">
        <f t="shared" si="0"/>
        <v>2</v>
      </c>
    </row>
    <row r="39" spans="1:10">
      <c r="A39" s="134" t="s">
        <v>1873</v>
      </c>
      <c r="B39" s="134" t="s">
        <v>341</v>
      </c>
      <c r="C39" s="137">
        <f>+COUNTIFS(GENERAL!$B:$B,'datos por personal'!C$1,GENERAL!$G:$G,'datos por personal'!$B39)</f>
        <v>1</v>
      </c>
      <c r="D39" s="137">
        <f>+COUNTIFS(GENERAL!$B:$B,'datos por personal'!D$1,GENERAL!$G:$G,'datos por personal'!$B39)</f>
        <v>1</v>
      </c>
      <c r="E39" s="137">
        <f>+COUNTIFS(GENERAL!$B:$B,'datos por personal'!E$1,GENERAL!$G:$G,'datos por personal'!$B39)</f>
        <v>0</v>
      </c>
      <c r="F39" s="137">
        <f>+COUNTIFS(GENERAL!$B:$B,'datos por personal'!F$1,GENERAL!$G:$G,'datos por personal'!$B39)</f>
        <v>1</v>
      </c>
      <c r="G39" s="137">
        <f>+COUNTIFS(GENERAL!$B:$B,'datos por personal'!G$1,GENERAL!$G:$G,'datos por personal'!$B39)</f>
        <v>0</v>
      </c>
      <c r="H39" s="137">
        <f>+COUNTIFS(GENERAL!$B:$B,'datos por personal'!H$1,GENERAL!$G:$G,'datos por personal'!$B39)</f>
        <v>0</v>
      </c>
      <c r="J39" s="135">
        <f t="shared" si="0"/>
        <v>3</v>
      </c>
    </row>
    <row r="40" spans="1:10">
      <c r="A40" s="134" t="s">
        <v>1873</v>
      </c>
      <c r="B40" s="134" t="s">
        <v>350</v>
      </c>
      <c r="C40" s="137">
        <f>+COUNTIFS(GENERAL!$B:$B,'datos por personal'!C$1,GENERAL!$G:$G,'datos por personal'!$B40)</f>
        <v>1</v>
      </c>
      <c r="D40" s="137">
        <f>+COUNTIFS(GENERAL!$B:$B,'datos por personal'!D$1,GENERAL!$G:$G,'datos por personal'!$B40)</f>
        <v>0</v>
      </c>
      <c r="E40" s="137">
        <f>+COUNTIFS(GENERAL!$B:$B,'datos por personal'!E$1,GENERAL!$G:$G,'datos por personal'!$B40)</f>
        <v>0</v>
      </c>
      <c r="F40" s="137">
        <f>+COUNTIFS(GENERAL!$B:$B,'datos por personal'!F$1,GENERAL!$G:$G,'datos por personal'!$B40)</f>
        <v>0</v>
      </c>
      <c r="G40" s="137">
        <f>+COUNTIFS(GENERAL!$B:$B,'datos por personal'!G$1,GENERAL!$G:$G,'datos por personal'!$B40)</f>
        <v>0</v>
      </c>
      <c r="H40" s="137">
        <f>+COUNTIFS(GENERAL!$B:$B,'datos por personal'!H$1,GENERAL!$G:$G,'datos por personal'!$B40)</f>
        <v>0</v>
      </c>
      <c r="J40" s="135">
        <f t="shared" si="0"/>
        <v>1</v>
      </c>
    </row>
    <row r="41" spans="1:10">
      <c r="A41" s="134" t="s">
        <v>1873</v>
      </c>
      <c r="B41" s="134" t="s">
        <v>359</v>
      </c>
      <c r="C41" s="137">
        <f>+COUNTIFS(GENERAL!$B:$B,'datos por personal'!C$1,GENERAL!$G:$G,'datos por personal'!$B41)</f>
        <v>1</v>
      </c>
      <c r="D41" s="137">
        <f>+COUNTIFS(GENERAL!$B:$B,'datos por personal'!D$1,GENERAL!$G:$G,'datos por personal'!$B41)</f>
        <v>0</v>
      </c>
      <c r="E41" s="137">
        <f>+COUNTIFS(GENERAL!$B:$B,'datos por personal'!E$1,GENERAL!$G:$G,'datos por personal'!$B41)</f>
        <v>0</v>
      </c>
      <c r="F41" s="137">
        <f>+COUNTIFS(GENERAL!$B:$B,'datos por personal'!F$1,GENERAL!$G:$G,'datos por personal'!$B41)</f>
        <v>0</v>
      </c>
      <c r="G41" s="137">
        <f>+COUNTIFS(GENERAL!$B:$B,'datos por personal'!G$1,GENERAL!$G:$G,'datos por personal'!$B41)</f>
        <v>0</v>
      </c>
      <c r="H41" s="137">
        <f>+COUNTIFS(GENERAL!$B:$B,'datos por personal'!H$1,GENERAL!$G:$G,'datos por personal'!$B41)</f>
        <v>0</v>
      </c>
      <c r="J41" s="135">
        <f t="shared" si="0"/>
        <v>1</v>
      </c>
    </row>
    <row r="42" spans="1:10">
      <c r="A42" s="134" t="s">
        <v>1873</v>
      </c>
      <c r="B42" s="134" t="s">
        <v>401</v>
      </c>
      <c r="C42" s="137">
        <f>+COUNTIFS(GENERAL!$B:$B,'datos por personal'!C$1,GENERAL!$G:$G,'datos por personal'!$B42)</f>
        <v>0</v>
      </c>
      <c r="D42" s="137">
        <f>+COUNTIFS(GENERAL!$B:$B,'datos por personal'!D$1,GENERAL!$G:$G,'datos por personal'!$B42)</f>
        <v>2</v>
      </c>
      <c r="E42" s="137">
        <f>+COUNTIFS(GENERAL!$B:$B,'datos por personal'!E$1,GENERAL!$G:$G,'datos por personal'!$B42)</f>
        <v>1</v>
      </c>
      <c r="F42" s="137">
        <f>+COUNTIFS(GENERAL!$B:$B,'datos por personal'!F$1,GENERAL!$G:$G,'datos por personal'!$B42)</f>
        <v>0</v>
      </c>
      <c r="G42" s="137">
        <f>+COUNTIFS(GENERAL!$B:$B,'datos por personal'!G$1,GENERAL!$G:$G,'datos por personal'!$B42)</f>
        <v>3</v>
      </c>
      <c r="H42" s="137">
        <f>+COUNTIFS(GENERAL!$B:$B,'datos por personal'!H$1,GENERAL!$G:$G,'datos por personal'!$B42)</f>
        <v>1</v>
      </c>
      <c r="J42" s="135">
        <f t="shared" si="0"/>
        <v>7</v>
      </c>
    </row>
    <row r="43" spans="1:10">
      <c r="A43" s="134" t="s">
        <v>1873</v>
      </c>
      <c r="B43" s="134" t="s">
        <v>408</v>
      </c>
      <c r="C43" s="137">
        <f>+COUNTIFS(GENERAL!$B:$B,'datos por personal'!C$1,GENERAL!$G:$G,'datos por personal'!$B43)</f>
        <v>0</v>
      </c>
      <c r="D43" s="137">
        <f>+COUNTIFS(GENERAL!$B:$B,'datos por personal'!D$1,GENERAL!$G:$G,'datos por personal'!$B43)</f>
        <v>1</v>
      </c>
      <c r="E43" s="137">
        <f>+COUNTIFS(GENERAL!$B:$B,'datos por personal'!E$1,GENERAL!$G:$G,'datos por personal'!$B43)</f>
        <v>1</v>
      </c>
      <c r="F43" s="137">
        <f>+COUNTIFS(GENERAL!$B:$B,'datos por personal'!F$1,GENERAL!$G:$G,'datos por personal'!$B43)</f>
        <v>0</v>
      </c>
      <c r="G43" s="137">
        <f>+COUNTIFS(GENERAL!$B:$B,'datos por personal'!G$1,GENERAL!$G:$G,'datos por personal'!$B43)</f>
        <v>0</v>
      </c>
      <c r="H43" s="137">
        <f>+COUNTIFS(GENERAL!$B:$B,'datos por personal'!H$1,GENERAL!$G:$G,'datos por personal'!$B43)</f>
        <v>0</v>
      </c>
      <c r="J43" s="135">
        <f t="shared" si="0"/>
        <v>2</v>
      </c>
    </row>
    <row r="44" spans="1:10">
      <c r="A44" s="134" t="s">
        <v>1873</v>
      </c>
      <c r="B44" s="134" t="s">
        <v>429</v>
      </c>
      <c r="C44" s="137">
        <f>+COUNTIFS(GENERAL!$B:$B,'datos por personal'!C$1,GENERAL!$G:$G,'datos por personal'!$B44)</f>
        <v>0</v>
      </c>
      <c r="D44" s="137">
        <f>+COUNTIFS(GENERAL!$B:$B,'datos por personal'!D$1,GENERAL!$G:$G,'datos por personal'!$B44)</f>
        <v>2</v>
      </c>
      <c r="E44" s="137">
        <f>+COUNTIFS(GENERAL!$B:$B,'datos por personal'!E$1,GENERAL!$G:$G,'datos por personal'!$B44)</f>
        <v>0</v>
      </c>
      <c r="F44" s="137">
        <f>+COUNTIFS(GENERAL!$B:$B,'datos por personal'!F$1,GENERAL!$G:$G,'datos por personal'!$B44)</f>
        <v>0</v>
      </c>
      <c r="G44" s="137">
        <f>+COUNTIFS(GENERAL!$B:$B,'datos por personal'!G$1,GENERAL!$G:$G,'datos por personal'!$B44)</f>
        <v>0</v>
      </c>
      <c r="H44" s="137">
        <f>+COUNTIFS(GENERAL!$B:$B,'datos por personal'!H$1,GENERAL!$G:$G,'datos por personal'!$B44)</f>
        <v>0</v>
      </c>
      <c r="J44" s="135">
        <f t="shared" si="0"/>
        <v>2</v>
      </c>
    </row>
    <row r="45" spans="1:10">
      <c r="A45" s="134" t="s">
        <v>1873</v>
      </c>
      <c r="B45" s="134" t="s">
        <v>446</v>
      </c>
      <c r="C45" s="137">
        <f>+COUNTIFS(GENERAL!$B:$B,'datos por personal'!C$1,GENERAL!$G:$G,'datos por personal'!$B45)</f>
        <v>0</v>
      </c>
      <c r="D45" s="137">
        <f>+COUNTIFS(GENERAL!$B:$B,'datos por personal'!D$1,GENERAL!$G:$G,'datos por personal'!$B45)</f>
        <v>1</v>
      </c>
      <c r="E45" s="137">
        <f>+COUNTIFS(GENERAL!$B:$B,'datos por personal'!E$1,GENERAL!$G:$G,'datos por personal'!$B45)</f>
        <v>0</v>
      </c>
      <c r="F45" s="137">
        <f>+COUNTIFS(GENERAL!$B:$B,'datos por personal'!F$1,GENERAL!$G:$G,'datos por personal'!$B45)</f>
        <v>0</v>
      </c>
      <c r="G45" s="137">
        <f>+COUNTIFS(GENERAL!$B:$B,'datos por personal'!G$1,GENERAL!$G:$G,'datos por personal'!$B45)</f>
        <v>0</v>
      </c>
      <c r="H45" s="137">
        <f>+COUNTIFS(GENERAL!$B:$B,'datos por personal'!H$1,GENERAL!$G:$G,'datos por personal'!$B45)</f>
        <v>0</v>
      </c>
      <c r="J45" s="135">
        <f t="shared" si="0"/>
        <v>1</v>
      </c>
    </row>
    <row r="46" spans="1:10">
      <c r="A46" s="134" t="s">
        <v>1873</v>
      </c>
      <c r="B46" s="134" t="s">
        <v>455</v>
      </c>
      <c r="C46" s="137">
        <f>+COUNTIFS(GENERAL!$B:$B,'datos por personal'!C$1,GENERAL!$G:$G,'datos por personal'!$B46)</f>
        <v>0</v>
      </c>
      <c r="D46" s="137">
        <f>+COUNTIFS(GENERAL!$B:$B,'datos por personal'!D$1,GENERAL!$G:$G,'datos por personal'!$B46)</f>
        <v>3</v>
      </c>
      <c r="E46" s="137">
        <f>+COUNTIFS(GENERAL!$B:$B,'datos por personal'!E$1,GENERAL!$G:$G,'datos por personal'!$B46)</f>
        <v>1</v>
      </c>
      <c r="F46" s="137">
        <f>+COUNTIFS(GENERAL!$B:$B,'datos por personal'!F$1,GENERAL!$G:$G,'datos por personal'!$B46)</f>
        <v>0</v>
      </c>
      <c r="G46" s="137">
        <f>+COUNTIFS(GENERAL!$B:$B,'datos por personal'!G$1,GENERAL!$G:$G,'datos por personal'!$B46)</f>
        <v>0</v>
      </c>
      <c r="H46" s="137">
        <f>+COUNTIFS(GENERAL!$B:$B,'datos por personal'!H$1,GENERAL!$G:$G,'datos por personal'!$B46)</f>
        <v>0</v>
      </c>
      <c r="J46" s="135">
        <f t="shared" si="0"/>
        <v>4</v>
      </c>
    </row>
    <row r="47" spans="1:10">
      <c r="A47" s="134" t="s">
        <v>1873</v>
      </c>
      <c r="B47" s="134" t="s">
        <v>477</v>
      </c>
      <c r="C47" s="137">
        <f>+COUNTIFS(GENERAL!$B:$B,'datos por personal'!C$1,GENERAL!$G:$G,'datos por personal'!$B47)</f>
        <v>0</v>
      </c>
      <c r="D47" s="137">
        <f>+COUNTIFS(GENERAL!$B:$B,'datos por personal'!D$1,GENERAL!$G:$G,'datos por personal'!$B47)</f>
        <v>5</v>
      </c>
      <c r="E47" s="137">
        <f>+COUNTIFS(GENERAL!$B:$B,'datos por personal'!E$1,GENERAL!$G:$G,'datos por personal'!$B47)</f>
        <v>0</v>
      </c>
      <c r="F47" s="137">
        <f>+COUNTIFS(GENERAL!$B:$B,'datos por personal'!F$1,GENERAL!$G:$G,'datos por personal'!$B47)</f>
        <v>0</v>
      </c>
      <c r="G47" s="137">
        <f>+COUNTIFS(GENERAL!$B:$B,'datos por personal'!G$1,GENERAL!$G:$G,'datos por personal'!$B47)</f>
        <v>2</v>
      </c>
      <c r="H47" s="137">
        <f>+COUNTIFS(GENERAL!$B:$B,'datos por personal'!H$1,GENERAL!$G:$G,'datos por personal'!$B47)</f>
        <v>0</v>
      </c>
      <c r="J47" s="135">
        <f t="shared" si="0"/>
        <v>7</v>
      </c>
    </row>
    <row r="48" spans="1:10">
      <c r="A48" s="134" t="s">
        <v>1873</v>
      </c>
      <c r="B48" s="134" t="s">
        <v>544</v>
      </c>
      <c r="C48" s="137">
        <f>+COUNTIFS(GENERAL!$B:$B,'datos por personal'!C$1,GENERAL!$G:$G,'datos por personal'!$B48)</f>
        <v>0</v>
      </c>
      <c r="D48" s="137">
        <f>+COUNTIFS(GENERAL!$B:$B,'datos por personal'!D$1,GENERAL!$G:$G,'datos por personal'!$B48)</f>
        <v>1</v>
      </c>
      <c r="E48" s="137">
        <f>+COUNTIFS(GENERAL!$B:$B,'datos por personal'!E$1,GENERAL!$G:$G,'datos por personal'!$B48)</f>
        <v>0</v>
      </c>
      <c r="F48" s="137">
        <f>+COUNTIFS(GENERAL!$B:$B,'datos por personal'!F$1,GENERAL!$G:$G,'datos por personal'!$B48)</f>
        <v>0</v>
      </c>
      <c r="G48" s="137">
        <f>+COUNTIFS(GENERAL!$B:$B,'datos por personal'!G$1,GENERAL!$G:$G,'datos por personal'!$B48)</f>
        <v>0</v>
      </c>
      <c r="H48" s="137">
        <f>+COUNTIFS(GENERAL!$B:$B,'datos por personal'!H$1,GENERAL!$G:$G,'datos por personal'!$B48)</f>
        <v>0</v>
      </c>
      <c r="J48" s="135">
        <f t="shared" si="0"/>
        <v>1</v>
      </c>
    </row>
    <row r="49" spans="1:10">
      <c r="A49" s="134" t="s">
        <v>1873</v>
      </c>
      <c r="B49" s="134" t="s">
        <v>550</v>
      </c>
      <c r="C49" s="137">
        <f>+COUNTIFS(GENERAL!$B:$B,'datos por personal'!C$1,GENERAL!$G:$G,'datos por personal'!$B49)</f>
        <v>0</v>
      </c>
      <c r="D49" s="137">
        <f>+COUNTIFS(GENERAL!$B:$B,'datos por personal'!D$1,GENERAL!$G:$G,'datos por personal'!$B49)</f>
        <v>1</v>
      </c>
      <c r="E49" s="137">
        <f>+COUNTIFS(GENERAL!$B:$B,'datos por personal'!E$1,GENERAL!$G:$G,'datos por personal'!$B49)</f>
        <v>1</v>
      </c>
      <c r="F49" s="137">
        <f>+COUNTIFS(GENERAL!$B:$B,'datos por personal'!F$1,GENERAL!$G:$G,'datos por personal'!$B49)</f>
        <v>1</v>
      </c>
      <c r="G49" s="137">
        <f>+COUNTIFS(GENERAL!$B:$B,'datos por personal'!G$1,GENERAL!$G:$G,'datos por personal'!$B49)</f>
        <v>0</v>
      </c>
      <c r="H49" s="137">
        <f>+COUNTIFS(GENERAL!$B:$B,'datos por personal'!H$1,GENERAL!$G:$G,'datos por personal'!$B49)</f>
        <v>0</v>
      </c>
      <c r="J49" s="135">
        <f t="shared" si="0"/>
        <v>3</v>
      </c>
    </row>
    <row r="50" spans="1:10">
      <c r="A50" s="134" t="s">
        <v>1873</v>
      </c>
      <c r="B50" s="134" t="s">
        <v>560</v>
      </c>
      <c r="C50" s="137">
        <f>+COUNTIFS(GENERAL!$B:$B,'datos por personal'!C$1,GENERAL!$G:$G,'datos por personal'!$B50)</f>
        <v>0</v>
      </c>
      <c r="D50" s="137">
        <f>+COUNTIFS(GENERAL!$B:$B,'datos por personal'!D$1,GENERAL!$G:$G,'datos por personal'!$B50)</f>
        <v>2</v>
      </c>
      <c r="E50" s="137">
        <f>+COUNTIFS(GENERAL!$B:$B,'datos por personal'!E$1,GENERAL!$G:$G,'datos por personal'!$B50)</f>
        <v>0</v>
      </c>
      <c r="F50" s="137">
        <f>+COUNTIFS(GENERAL!$B:$B,'datos por personal'!F$1,GENERAL!$G:$G,'datos por personal'!$B50)</f>
        <v>1</v>
      </c>
      <c r="G50" s="137">
        <f>+COUNTIFS(GENERAL!$B:$B,'datos por personal'!G$1,GENERAL!$G:$G,'datos por personal'!$B50)</f>
        <v>1</v>
      </c>
      <c r="H50" s="137">
        <f>+COUNTIFS(GENERAL!$B:$B,'datos por personal'!H$1,GENERAL!$G:$G,'datos por personal'!$B50)</f>
        <v>0</v>
      </c>
      <c r="J50" s="135">
        <f t="shared" si="0"/>
        <v>4</v>
      </c>
    </row>
    <row r="51" spans="1:10">
      <c r="A51" s="134" t="s">
        <v>1873</v>
      </c>
      <c r="B51" s="134" t="s">
        <v>578</v>
      </c>
      <c r="C51" s="137">
        <f>+COUNTIFS(GENERAL!$B:$B,'datos por personal'!C$1,GENERAL!$G:$G,'datos por personal'!$B51)</f>
        <v>0</v>
      </c>
      <c r="D51" s="137">
        <f>+COUNTIFS(GENERAL!$B:$B,'datos por personal'!D$1,GENERAL!$G:$G,'datos por personal'!$B51)</f>
        <v>2</v>
      </c>
      <c r="E51" s="137">
        <f>+COUNTIFS(GENERAL!$B:$B,'datos por personal'!E$1,GENERAL!$G:$G,'datos por personal'!$B51)</f>
        <v>1</v>
      </c>
      <c r="F51" s="137">
        <f>+COUNTIFS(GENERAL!$B:$B,'datos por personal'!F$1,GENERAL!$G:$G,'datos por personal'!$B51)</f>
        <v>0</v>
      </c>
      <c r="G51" s="137">
        <f>+COUNTIFS(GENERAL!$B:$B,'datos por personal'!G$1,GENERAL!$G:$G,'datos por personal'!$B51)</f>
        <v>0</v>
      </c>
      <c r="H51" s="137">
        <f>+COUNTIFS(GENERAL!$B:$B,'datos por personal'!H$1,GENERAL!$G:$G,'datos por personal'!$B51)</f>
        <v>0</v>
      </c>
      <c r="J51" s="135">
        <f t="shared" si="0"/>
        <v>3</v>
      </c>
    </row>
    <row r="52" spans="1:10">
      <c r="A52" s="134" t="s">
        <v>1873</v>
      </c>
      <c r="B52" s="134" t="s">
        <v>639</v>
      </c>
      <c r="C52" s="137">
        <f>+COUNTIFS(GENERAL!$B:$B,'datos por personal'!C$1,GENERAL!$G:$G,'datos por personal'!$B52)</f>
        <v>0</v>
      </c>
      <c r="D52" s="137">
        <f>+COUNTIFS(GENERAL!$B:$B,'datos por personal'!D$1,GENERAL!$G:$G,'datos por personal'!$B52)</f>
        <v>1</v>
      </c>
      <c r="E52" s="137">
        <f>+COUNTIFS(GENERAL!$B:$B,'datos por personal'!E$1,GENERAL!$G:$G,'datos por personal'!$B52)</f>
        <v>0</v>
      </c>
      <c r="F52" s="137">
        <f>+COUNTIFS(GENERAL!$B:$B,'datos por personal'!F$1,GENERAL!$G:$G,'datos por personal'!$B52)</f>
        <v>0</v>
      </c>
      <c r="G52" s="137">
        <f>+COUNTIFS(GENERAL!$B:$B,'datos por personal'!G$1,GENERAL!$G:$G,'datos por personal'!$B52)</f>
        <v>0</v>
      </c>
      <c r="H52" s="137">
        <f>+COUNTIFS(GENERAL!$B:$B,'datos por personal'!H$1,GENERAL!$G:$G,'datos por personal'!$B52)</f>
        <v>0</v>
      </c>
      <c r="J52" s="135">
        <f t="shared" si="0"/>
        <v>1</v>
      </c>
    </row>
    <row r="53" spans="1:10">
      <c r="A53" s="134" t="s">
        <v>1873</v>
      </c>
      <c r="B53" s="134" t="s">
        <v>676</v>
      </c>
      <c r="C53" s="137">
        <f>+COUNTIFS(GENERAL!$B:$B,'datos por personal'!C$1,GENERAL!$G:$G,'datos por personal'!$B53)</f>
        <v>0</v>
      </c>
      <c r="D53" s="137">
        <f>+COUNTIFS(GENERAL!$B:$B,'datos por personal'!D$1,GENERAL!$G:$G,'datos por personal'!$B53)</f>
        <v>1</v>
      </c>
      <c r="E53" s="137">
        <f>+COUNTIFS(GENERAL!$B:$B,'datos por personal'!E$1,GENERAL!$G:$G,'datos por personal'!$B53)</f>
        <v>0</v>
      </c>
      <c r="F53" s="137">
        <f>+COUNTIFS(GENERAL!$B:$B,'datos por personal'!F$1,GENERAL!$G:$G,'datos por personal'!$B53)</f>
        <v>1</v>
      </c>
      <c r="G53" s="137">
        <f>+COUNTIFS(GENERAL!$B:$B,'datos por personal'!G$1,GENERAL!$G:$G,'datos por personal'!$B53)</f>
        <v>1</v>
      </c>
      <c r="H53" s="137">
        <f>+COUNTIFS(GENERAL!$B:$B,'datos por personal'!H$1,GENERAL!$G:$G,'datos por personal'!$B53)</f>
        <v>0</v>
      </c>
      <c r="J53" s="135">
        <f t="shared" si="0"/>
        <v>3</v>
      </c>
    </row>
    <row r="54" spans="1:10">
      <c r="A54" s="134" t="s">
        <v>1873</v>
      </c>
      <c r="B54" s="134" t="s">
        <v>698</v>
      </c>
      <c r="C54" s="137">
        <f>+COUNTIFS(GENERAL!$B:$B,'datos por personal'!C$1,GENERAL!$G:$G,'datos por personal'!$B54)</f>
        <v>0</v>
      </c>
      <c r="D54" s="137">
        <f>+COUNTIFS(GENERAL!$B:$B,'datos por personal'!D$1,GENERAL!$G:$G,'datos por personal'!$B54)</f>
        <v>1</v>
      </c>
      <c r="E54" s="137">
        <f>+COUNTIFS(GENERAL!$B:$B,'datos por personal'!E$1,GENERAL!$G:$G,'datos por personal'!$B54)</f>
        <v>0</v>
      </c>
      <c r="F54" s="137">
        <f>+COUNTIFS(GENERAL!$B:$B,'datos por personal'!F$1,GENERAL!$G:$G,'datos por personal'!$B54)</f>
        <v>0</v>
      </c>
      <c r="G54" s="137">
        <f>+COUNTIFS(GENERAL!$B:$B,'datos por personal'!G$1,GENERAL!$G:$G,'datos por personal'!$B54)</f>
        <v>0</v>
      </c>
      <c r="H54" s="137">
        <f>+COUNTIFS(GENERAL!$B:$B,'datos por personal'!H$1,GENERAL!$G:$G,'datos por personal'!$B54)</f>
        <v>0</v>
      </c>
      <c r="J54" s="135">
        <f t="shared" si="0"/>
        <v>1</v>
      </c>
    </row>
    <row r="55" spans="1:10">
      <c r="A55" s="134" t="s">
        <v>1873</v>
      </c>
      <c r="B55" s="134" t="s">
        <v>720</v>
      </c>
      <c r="C55" s="137">
        <f>+COUNTIFS(GENERAL!$B:$B,'datos por personal'!C$1,GENERAL!$G:$G,'datos por personal'!$B55)</f>
        <v>0</v>
      </c>
      <c r="D55" s="137">
        <f>+COUNTIFS(GENERAL!$B:$B,'datos por personal'!D$1,GENERAL!$G:$G,'datos por personal'!$B55)</f>
        <v>1</v>
      </c>
      <c r="E55" s="137">
        <f>+COUNTIFS(GENERAL!$B:$B,'datos por personal'!E$1,GENERAL!$G:$G,'datos por personal'!$B55)</f>
        <v>0</v>
      </c>
      <c r="F55" s="137">
        <f>+COUNTIFS(GENERAL!$B:$B,'datos por personal'!F$1,GENERAL!$G:$G,'datos por personal'!$B55)</f>
        <v>0</v>
      </c>
      <c r="G55" s="137">
        <f>+COUNTIFS(GENERAL!$B:$B,'datos por personal'!G$1,GENERAL!$G:$G,'datos por personal'!$B55)</f>
        <v>0</v>
      </c>
      <c r="H55" s="137">
        <f>+COUNTIFS(GENERAL!$B:$B,'datos por personal'!H$1,GENERAL!$G:$G,'datos por personal'!$B55)</f>
        <v>0</v>
      </c>
      <c r="J55" s="135">
        <f t="shared" si="0"/>
        <v>1</v>
      </c>
    </row>
    <row r="56" spans="1:10">
      <c r="A56" s="134" t="s">
        <v>1873</v>
      </c>
      <c r="B56" s="134" t="s">
        <v>733</v>
      </c>
      <c r="C56" s="137">
        <f>+COUNTIFS(GENERAL!$B:$B,'datos por personal'!C$1,GENERAL!$G:$G,'datos por personal'!$B56)</f>
        <v>0</v>
      </c>
      <c r="D56" s="137">
        <f>+COUNTIFS(GENERAL!$B:$B,'datos por personal'!D$1,GENERAL!$G:$G,'datos por personal'!$B56)</f>
        <v>1</v>
      </c>
      <c r="E56" s="137">
        <f>+COUNTIFS(GENERAL!$B:$B,'datos por personal'!E$1,GENERAL!$G:$G,'datos por personal'!$B56)</f>
        <v>0</v>
      </c>
      <c r="F56" s="137">
        <f>+COUNTIFS(GENERAL!$B:$B,'datos por personal'!F$1,GENERAL!$G:$G,'datos por personal'!$B56)</f>
        <v>0</v>
      </c>
      <c r="G56" s="137">
        <f>+COUNTIFS(GENERAL!$B:$B,'datos por personal'!G$1,GENERAL!$G:$G,'datos por personal'!$B56)</f>
        <v>0</v>
      </c>
      <c r="H56" s="137">
        <f>+COUNTIFS(GENERAL!$B:$B,'datos por personal'!H$1,GENERAL!$G:$G,'datos por personal'!$B56)</f>
        <v>0</v>
      </c>
      <c r="J56" s="135">
        <f t="shared" si="0"/>
        <v>1</v>
      </c>
    </row>
    <row r="57" spans="1:10">
      <c r="A57" s="134" t="s">
        <v>1873</v>
      </c>
      <c r="B57" s="134" t="s">
        <v>747</v>
      </c>
      <c r="C57" s="137">
        <f>+COUNTIFS(GENERAL!$B:$B,'datos por personal'!C$1,GENERAL!$G:$G,'datos por personal'!$B57)</f>
        <v>0</v>
      </c>
      <c r="D57" s="137">
        <f>+COUNTIFS(GENERAL!$B:$B,'datos por personal'!D$1,GENERAL!$G:$G,'datos por personal'!$B57)</f>
        <v>0</v>
      </c>
      <c r="E57" s="137">
        <f>+COUNTIFS(GENERAL!$B:$B,'datos por personal'!E$1,GENERAL!$G:$G,'datos por personal'!$B57)</f>
        <v>1</v>
      </c>
      <c r="F57" s="137">
        <f>+COUNTIFS(GENERAL!$B:$B,'datos por personal'!F$1,GENERAL!$G:$G,'datos por personal'!$B57)</f>
        <v>0</v>
      </c>
      <c r="G57" s="137">
        <f>+COUNTIFS(GENERAL!$B:$B,'datos por personal'!G$1,GENERAL!$G:$G,'datos por personal'!$B57)</f>
        <v>0</v>
      </c>
      <c r="H57" s="137">
        <f>+COUNTIFS(GENERAL!$B:$B,'datos por personal'!H$1,GENERAL!$G:$G,'datos por personal'!$B57)</f>
        <v>0</v>
      </c>
      <c r="J57" s="135">
        <f t="shared" si="0"/>
        <v>1</v>
      </c>
    </row>
    <row r="58" spans="1:10">
      <c r="A58" s="134" t="s">
        <v>1873</v>
      </c>
      <c r="B58" s="134" t="s">
        <v>754</v>
      </c>
      <c r="C58" s="137">
        <f>+COUNTIFS(GENERAL!$B:$B,'datos por personal'!C$1,GENERAL!$G:$G,'datos por personal'!$B58)</f>
        <v>0</v>
      </c>
      <c r="D58" s="137">
        <f>+COUNTIFS(GENERAL!$B:$B,'datos por personal'!D$1,GENERAL!$G:$G,'datos por personal'!$B58)</f>
        <v>0</v>
      </c>
      <c r="E58" s="137">
        <f>+COUNTIFS(GENERAL!$B:$B,'datos por personal'!E$1,GENERAL!$G:$G,'datos por personal'!$B58)</f>
        <v>2</v>
      </c>
      <c r="F58" s="137">
        <f>+COUNTIFS(GENERAL!$B:$B,'datos por personal'!F$1,GENERAL!$G:$G,'datos por personal'!$B58)</f>
        <v>1</v>
      </c>
      <c r="G58" s="137">
        <f>+COUNTIFS(GENERAL!$B:$B,'datos por personal'!G$1,GENERAL!$G:$G,'datos por personal'!$B58)</f>
        <v>0</v>
      </c>
      <c r="H58" s="137">
        <f>+COUNTIFS(GENERAL!$B:$B,'datos por personal'!H$1,GENERAL!$G:$G,'datos por personal'!$B58)</f>
        <v>0</v>
      </c>
      <c r="J58" s="135">
        <f t="shared" si="0"/>
        <v>3</v>
      </c>
    </row>
    <row r="59" spans="1:10">
      <c r="A59" s="134" t="s">
        <v>1873</v>
      </c>
      <c r="B59" s="134" t="s">
        <v>769</v>
      </c>
      <c r="C59" s="137">
        <f>+COUNTIFS(GENERAL!$B:$B,'datos por personal'!C$1,GENERAL!$G:$G,'datos por personal'!$B59)</f>
        <v>0</v>
      </c>
      <c r="D59" s="137">
        <f>+COUNTIFS(GENERAL!$B:$B,'datos por personal'!D$1,GENERAL!$G:$G,'datos por personal'!$B59)</f>
        <v>0</v>
      </c>
      <c r="E59" s="137">
        <f>+COUNTIFS(GENERAL!$B:$B,'datos por personal'!E$1,GENERAL!$G:$G,'datos por personal'!$B59)</f>
        <v>1</v>
      </c>
      <c r="F59" s="137">
        <f>+COUNTIFS(GENERAL!$B:$B,'datos por personal'!F$1,GENERAL!$G:$G,'datos por personal'!$B59)</f>
        <v>2</v>
      </c>
      <c r="G59" s="137">
        <f>+COUNTIFS(GENERAL!$B:$B,'datos por personal'!G$1,GENERAL!$G:$G,'datos por personal'!$B59)</f>
        <v>2</v>
      </c>
      <c r="H59" s="137">
        <f>+COUNTIFS(GENERAL!$B:$B,'datos por personal'!H$1,GENERAL!$G:$G,'datos por personal'!$B59)</f>
        <v>1</v>
      </c>
      <c r="J59" s="135">
        <f t="shared" si="0"/>
        <v>6</v>
      </c>
    </row>
    <row r="60" spans="1:10">
      <c r="A60" s="134" t="s">
        <v>1873</v>
      </c>
      <c r="B60" s="134" t="s">
        <v>775</v>
      </c>
      <c r="C60" s="137">
        <f>+COUNTIFS(GENERAL!$B:$B,'datos por personal'!C$1,GENERAL!$G:$G,'datos por personal'!$B60)</f>
        <v>0</v>
      </c>
      <c r="D60" s="137">
        <f>+COUNTIFS(GENERAL!$B:$B,'datos por personal'!D$1,GENERAL!$G:$G,'datos por personal'!$B60)</f>
        <v>0</v>
      </c>
      <c r="E60" s="137">
        <f>+COUNTIFS(GENERAL!$B:$B,'datos por personal'!E$1,GENERAL!$G:$G,'datos por personal'!$B60)</f>
        <v>1</v>
      </c>
      <c r="F60" s="137">
        <f>+COUNTIFS(GENERAL!$B:$B,'datos por personal'!F$1,GENERAL!$G:$G,'datos por personal'!$B60)</f>
        <v>2</v>
      </c>
      <c r="G60" s="137">
        <f>+COUNTIFS(GENERAL!$B:$B,'datos por personal'!G$1,GENERAL!$G:$G,'datos por personal'!$B60)</f>
        <v>0</v>
      </c>
      <c r="H60" s="137">
        <f>+COUNTIFS(GENERAL!$B:$B,'datos por personal'!H$1,GENERAL!$G:$G,'datos por personal'!$B60)</f>
        <v>0</v>
      </c>
      <c r="J60" s="135">
        <f t="shared" si="0"/>
        <v>3</v>
      </c>
    </row>
    <row r="61" spans="1:10">
      <c r="A61" s="134" t="s">
        <v>1873</v>
      </c>
      <c r="B61" s="134" t="s">
        <v>795</v>
      </c>
      <c r="C61" s="137">
        <f>+COUNTIFS(GENERAL!$B:$B,'datos por personal'!C$1,GENERAL!$G:$G,'datos por personal'!$B61)</f>
        <v>0</v>
      </c>
      <c r="D61" s="137">
        <f>+COUNTIFS(GENERAL!$B:$B,'datos por personal'!D$1,GENERAL!$G:$G,'datos por personal'!$B61)</f>
        <v>0</v>
      </c>
      <c r="E61" s="137">
        <f>+COUNTIFS(GENERAL!$B:$B,'datos por personal'!E$1,GENERAL!$G:$G,'datos por personal'!$B61)</f>
        <v>1</v>
      </c>
      <c r="F61" s="137">
        <f>+COUNTIFS(GENERAL!$B:$B,'datos por personal'!F$1,GENERAL!$G:$G,'datos por personal'!$B61)</f>
        <v>2</v>
      </c>
      <c r="G61" s="137">
        <f>+COUNTIFS(GENERAL!$B:$B,'datos por personal'!G$1,GENERAL!$G:$G,'datos por personal'!$B61)</f>
        <v>1</v>
      </c>
      <c r="H61" s="137">
        <f>+COUNTIFS(GENERAL!$B:$B,'datos por personal'!H$1,GENERAL!$G:$G,'datos por personal'!$B61)</f>
        <v>0</v>
      </c>
      <c r="J61" s="135">
        <f t="shared" si="0"/>
        <v>4</v>
      </c>
    </row>
    <row r="62" spans="1:10">
      <c r="A62" s="134" t="s">
        <v>1873</v>
      </c>
      <c r="B62" s="134" t="s">
        <v>815</v>
      </c>
      <c r="C62" s="137">
        <f>+COUNTIFS(GENERAL!$B:$B,'datos por personal'!C$1,GENERAL!$G:$G,'datos por personal'!$B62)</f>
        <v>0</v>
      </c>
      <c r="D62" s="137">
        <f>+COUNTIFS(GENERAL!$B:$B,'datos por personal'!D$1,GENERAL!$G:$G,'datos por personal'!$B62)</f>
        <v>0</v>
      </c>
      <c r="E62" s="137">
        <f>+COUNTIFS(GENERAL!$B:$B,'datos por personal'!E$1,GENERAL!$G:$G,'datos por personal'!$B62)</f>
        <v>2</v>
      </c>
      <c r="F62" s="137">
        <f>+COUNTIFS(GENERAL!$B:$B,'datos por personal'!F$1,GENERAL!$G:$G,'datos por personal'!$B62)</f>
        <v>0</v>
      </c>
      <c r="G62" s="137">
        <f>+COUNTIFS(GENERAL!$B:$B,'datos por personal'!G$1,GENERAL!$G:$G,'datos por personal'!$B62)</f>
        <v>1</v>
      </c>
      <c r="H62" s="137">
        <f>+COUNTIFS(GENERAL!$B:$B,'datos por personal'!H$1,GENERAL!$G:$G,'datos por personal'!$B62)</f>
        <v>1</v>
      </c>
      <c r="J62" s="135">
        <f t="shared" si="0"/>
        <v>4</v>
      </c>
    </row>
    <row r="63" spans="1:10">
      <c r="A63" s="134" t="s">
        <v>1873</v>
      </c>
      <c r="B63" s="134" t="s">
        <v>824</v>
      </c>
      <c r="C63" s="137">
        <f>+COUNTIFS(GENERAL!$B:$B,'datos por personal'!C$1,GENERAL!$G:$G,'datos por personal'!$B63)</f>
        <v>0</v>
      </c>
      <c r="D63" s="137">
        <f>+COUNTIFS(GENERAL!$B:$B,'datos por personal'!D$1,GENERAL!$G:$G,'datos por personal'!$B63)</f>
        <v>0</v>
      </c>
      <c r="E63" s="137">
        <f>+COUNTIFS(GENERAL!$B:$B,'datos por personal'!E$1,GENERAL!$G:$G,'datos por personal'!$B63)</f>
        <v>1</v>
      </c>
      <c r="F63" s="137">
        <f>+COUNTIFS(GENERAL!$B:$B,'datos por personal'!F$1,GENERAL!$G:$G,'datos por personal'!$B63)</f>
        <v>2</v>
      </c>
      <c r="G63" s="137">
        <f>+COUNTIFS(GENERAL!$B:$B,'datos por personal'!G$1,GENERAL!$G:$G,'datos por personal'!$B63)</f>
        <v>3</v>
      </c>
      <c r="H63" s="137">
        <f>+COUNTIFS(GENERAL!$B:$B,'datos por personal'!H$1,GENERAL!$G:$G,'datos por personal'!$B63)</f>
        <v>1</v>
      </c>
      <c r="J63" s="135">
        <f t="shared" si="0"/>
        <v>7</v>
      </c>
    </row>
    <row r="64" spans="1:10">
      <c r="A64" s="134" t="s">
        <v>1873</v>
      </c>
      <c r="B64" s="134" t="s">
        <v>835</v>
      </c>
      <c r="C64" s="137">
        <f>+COUNTIFS(GENERAL!$B:$B,'datos por personal'!C$1,GENERAL!$G:$G,'datos por personal'!$B64)</f>
        <v>0</v>
      </c>
      <c r="D64" s="137">
        <f>+COUNTIFS(GENERAL!$B:$B,'datos por personal'!D$1,GENERAL!$G:$G,'datos por personal'!$B64)</f>
        <v>0</v>
      </c>
      <c r="E64" s="137">
        <f>+COUNTIFS(GENERAL!$B:$B,'datos por personal'!E$1,GENERAL!$G:$G,'datos por personal'!$B64)</f>
        <v>1</v>
      </c>
      <c r="F64" s="137">
        <f>+COUNTIFS(GENERAL!$B:$B,'datos por personal'!F$1,GENERAL!$G:$G,'datos por personal'!$B64)</f>
        <v>0</v>
      </c>
      <c r="G64" s="137">
        <f>+COUNTIFS(GENERAL!$B:$B,'datos por personal'!G$1,GENERAL!$G:$G,'datos por personal'!$B64)</f>
        <v>0</v>
      </c>
      <c r="H64" s="137">
        <f>+COUNTIFS(GENERAL!$B:$B,'datos por personal'!H$1,GENERAL!$G:$G,'datos por personal'!$B64)</f>
        <v>0</v>
      </c>
      <c r="J64" s="135">
        <f t="shared" si="0"/>
        <v>1</v>
      </c>
    </row>
    <row r="65" spans="1:10">
      <c r="A65" s="134" t="s">
        <v>1873</v>
      </c>
      <c r="B65" s="134" t="s">
        <v>845</v>
      </c>
      <c r="C65" s="137">
        <f>+COUNTIFS(GENERAL!$B:$B,'datos por personal'!C$1,GENERAL!$G:$G,'datos por personal'!$B65)</f>
        <v>0</v>
      </c>
      <c r="D65" s="137">
        <f>+COUNTIFS(GENERAL!$B:$B,'datos por personal'!D$1,GENERAL!$G:$G,'datos por personal'!$B65)</f>
        <v>0</v>
      </c>
      <c r="E65" s="137">
        <f>+COUNTIFS(GENERAL!$B:$B,'datos por personal'!E$1,GENERAL!$G:$G,'datos por personal'!$B65)</f>
        <v>1</v>
      </c>
      <c r="F65" s="137">
        <f>+COUNTIFS(GENERAL!$B:$B,'datos por personal'!F$1,GENERAL!$G:$G,'datos por personal'!$B65)</f>
        <v>0</v>
      </c>
      <c r="G65" s="137">
        <f>+COUNTIFS(GENERAL!$B:$B,'datos por personal'!G$1,GENERAL!$G:$G,'datos por personal'!$B65)</f>
        <v>0</v>
      </c>
      <c r="H65" s="137">
        <f>+COUNTIFS(GENERAL!$B:$B,'datos por personal'!H$1,GENERAL!$G:$G,'datos por personal'!$B65)</f>
        <v>0</v>
      </c>
      <c r="J65" s="135">
        <f t="shared" si="0"/>
        <v>1</v>
      </c>
    </row>
    <row r="66" spans="1:10">
      <c r="A66" s="134" t="s">
        <v>1873</v>
      </c>
      <c r="B66" s="134" t="s">
        <v>860</v>
      </c>
      <c r="C66" s="137">
        <f>+COUNTIFS(GENERAL!$B:$B,'datos por personal'!C$1,GENERAL!$G:$G,'datos por personal'!$B66)</f>
        <v>0</v>
      </c>
      <c r="D66" s="137">
        <f>+COUNTIFS(GENERAL!$B:$B,'datos por personal'!D$1,GENERAL!$G:$G,'datos por personal'!$B66)</f>
        <v>0</v>
      </c>
      <c r="E66" s="137">
        <f>+COUNTIFS(GENERAL!$B:$B,'datos por personal'!E$1,GENERAL!$G:$G,'datos por personal'!$B66)</f>
        <v>1</v>
      </c>
      <c r="F66" s="137">
        <f>+COUNTIFS(GENERAL!$B:$B,'datos por personal'!F$1,GENERAL!$G:$G,'datos por personal'!$B66)</f>
        <v>0</v>
      </c>
      <c r="G66" s="137">
        <f>+COUNTIFS(GENERAL!$B:$B,'datos por personal'!G$1,GENERAL!$G:$G,'datos por personal'!$B66)</f>
        <v>0</v>
      </c>
      <c r="H66" s="137">
        <f>+COUNTIFS(GENERAL!$B:$B,'datos por personal'!H$1,GENERAL!$G:$G,'datos por personal'!$B66)</f>
        <v>0</v>
      </c>
      <c r="J66" s="135">
        <f t="shared" si="0"/>
        <v>1</v>
      </c>
    </row>
    <row r="67" spans="1:10">
      <c r="A67" s="134" t="s">
        <v>1873</v>
      </c>
      <c r="B67" s="134" t="s">
        <v>872</v>
      </c>
      <c r="C67" s="137">
        <f>+COUNTIFS(GENERAL!$B:$B,'datos por personal'!C$1,GENERAL!$G:$G,'datos por personal'!$B67)</f>
        <v>0</v>
      </c>
      <c r="D67" s="137">
        <f>+COUNTIFS(GENERAL!$B:$B,'datos por personal'!D$1,GENERAL!$G:$G,'datos por personal'!$B67)</f>
        <v>0</v>
      </c>
      <c r="E67" s="137">
        <f>+COUNTIFS(GENERAL!$B:$B,'datos por personal'!E$1,GENERAL!$G:$G,'datos por personal'!$B67)</f>
        <v>2</v>
      </c>
      <c r="F67" s="137">
        <f>+COUNTIFS(GENERAL!$B:$B,'datos por personal'!F$1,GENERAL!$G:$G,'datos por personal'!$B67)</f>
        <v>0</v>
      </c>
      <c r="G67" s="137">
        <f>+COUNTIFS(GENERAL!$B:$B,'datos por personal'!G$1,GENERAL!$G:$G,'datos por personal'!$B67)</f>
        <v>0</v>
      </c>
      <c r="H67" s="137">
        <f>+COUNTIFS(GENERAL!$B:$B,'datos por personal'!H$1,GENERAL!$G:$G,'datos por personal'!$B67)</f>
        <v>0</v>
      </c>
      <c r="J67" s="135">
        <f t="shared" ref="J67:J130" si="1">+SUM(C67:H67)</f>
        <v>2</v>
      </c>
    </row>
    <row r="68" spans="1:10">
      <c r="A68" s="134" t="s">
        <v>1873</v>
      </c>
      <c r="B68" s="134" t="s">
        <v>895</v>
      </c>
      <c r="C68" s="137">
        <f>+COUNTIFS(GENERAL!$B:$B,'datos por personal'!C$1,GENERAL!$G:$G,'datos por personal'!$B68)</f>
        <v>0</v>
      </c>
      <c r="D68" s="137">
        <f>+COUNTIFS(GENERAL!$B:$B,'datos por personal'!D$1,GENERAL!$G:$G,'datos por personal'!$B68)</f>
        <v>0</v>
      </c>
      <c r="E68" s="137">
        <f>+COUNTIFS(GENERAL!$B:$B,'datos por personal'!E$1,GENERAL!$G:$G,'datos por personal'!$B68)</f>
        <v>1</v>
      </c>
      <c r="F68" s="137">
        <f>+COUNTIFS(GENERAL!$B:$B,'datos por personal'!F$1,GENERAL!$G:$G,'datos por personal'!$B68)</f>
        <v>0</v>
      </c>
      <c r="G68" s="137">
        <f>+COUNTIFS(GENERAL!$B:$B,'datos por personal'!G$1,GENERAL!$G:$G,'datos por personal'!$B68)</f>
        <v>0</v>
      </c>
      <c r="H68" s="137">
        <f>+COUNTIFS(GENERAL!$B:$B,'datos por personal'!H$1,GENERAL!$G:$G,'datos por personal'!$B68)</f>
        <v>1</v>
      </c>
      <c r="J68" s="135">
        <f t="shared" si="1"/>
        <v>2</v>
      </c>
    </row>
    <row r="69" spans="1:10">
      <c r="A69" s="134" t="s">
        <v>1873</v>
      </c>
      <c r="B69" s="134" t="s">
        <v>914</v>
      </c>
      <c r="C69" s="137">
        <f>+COUNTIFS(GENERAL!$B:$B,'datos por personal'!C$1,GENERAL!$G:$G,'datos por personal'!$B69)</f>
        <v>0</v>
      </c>
      <c r="D69" s="137">
        <f>+COUNTIFS(GENERAL!$B:$B,'datos por personal'!D$1,GENERAL!$G:$G,'datos por personal'!$B69)</f>
        <v>0</v>
      </c>
      <c r="E69" s="137">
        <f>+COUNTIFS(GENERAL!$B:$B,'datos por personal'!E$1,GENERAL!$G:$G,'datos por personal'!$B69)</f>
        <v>1</v>
      </c>
      <c r="F69" s="137">
        <f>+COUNTIFS(GENERAL!$B:$B,'datos por personal'!F$1,GENERAL!$G:$G,'datos por personal'!$B69)</f>
        <v>0</v>
      </c>
      <c r="G69" s="137">
        <f>+COUNTIFS(GENERAL!$B:$B,'datos por personal'!G$1,GENERAL!$G:$G,'datos por personal'!$B69)</f>
        <v>0</v>
      </c>
      <c r="H69" s="137">
        <f>+COUNTIFS(GENERAL!$B:$B,'datos por personal'!H$1,GENERAL!$G:$G,'datos por personal'!$B69)</f>
        <v>1</v>
      </c>
      <c r="J69" s="135">
        <f t="shared" si="1"/>
        <v>2</v>
      </c>
    </row>
    <row r="70" spans="1:10">
      <c r="A70" s="134" t="s">
        <v>1873</v>
      </c>
      <c r="B70" s="134" t="s">
        <v>955</v>
      </c>
      <c r="C70" s="137">
        <f>+COUNTIFS(GENERAL!$B:$B,'datos por personal'!C$1,GENERAL!$G:$G,'datos por personal'!$B70)</f>
        <v>0</v>
      </c>
      <c r="D70" s="137">
        <f>+COUNTIFS(GENERAL!$B:$B,'datos por personal'!D$1,GENERAL!$G:$G,'datos por personal'!$B70)</f>
        <v>0</v>
      </c>
      <c r="E70" s="137">
        <f>+COUNTIFS(GENERAL!$B:$B,'datos por personal'!E$1,GENERAL!$G:$G,'datos por personal'!$B70)</f>
        <v>1</v>
      </c>
      <c r="F70" s="137">
        <f>+COUNTIFS(GENERAL!$B:$B,'datos por personal'!F$1,GENERAL!$G:$G,'datos por personal'!$B70)</f>
        <v>3</v>
      </c>
      <c r="G70" s="137">
        <f>+COUNTIFS(GENERAL!$B:$B,'datos por personal'!G$1,GENERAL!$G:$G,'datos por personal'!$B70)</f>
        <v>0</v>
      </c>
      <c r="H70" s="137">
        <f>+COUNTIFS(GENERAL!$B:$B,'datos por personal'!H$1,GENERAL!$G:$G,'datos por personal'!$B70)</f>
        <v>0</v>
      </c>
      <c r="J70" s="135">
        <f t="shared" si="1"/>
        <v>4</v>
      </c>
    </row>
    <row r="71" spans="1:10">
      <c r="A71" s="134" t="s">
        <v>1873</v>
      </c>
      <c r="B71" s="162" t="s">
        <v>987</v>
      </c>
      <c r="C71" s="137">
        <f>+COUNTIFS(GENERAL!$B:$B,'datos por personal'!C$1,GENERAL!$G:$G,'datos por personal'!$B71)</f>
        <v>0</v>
      </c>
      <c r="D71" s="137">
        <f>+COUNTIFS(GENERAL!$B:$B,'datos por personal'!D$1,GENERAL!$G:$G,'datos por personal'!$B71)</f>
        <v>0</v>
      </c>
      <c r="E71" s="137">
        <f>+COUNTIFS(GENERAL!$B:$B,'datos por personal'!E$1,GENERAL!$G:$G,'datos por personal'!$B71)</f>
        <v>1</v>
      </c>
      <c r="F71" s="137">
        <f>+COUNTIFS(GENERAL!$B:$B,'datos por personal'!F$1,GENERAL!$G:$G,'datos por personal'!$B71)</f>
        <v>2</v>
      </c>
      <c r="G71" s="137">
        <f>+COUNTIFS(GENERAL!$B:$B,'datos por personal'!G$1,GENERAL!$G:$G,'datos por personal'!$B71)</f>
        <v>0</v>
      </c>
      <c r="H71" s="137">
        <f>+COUNTIFS(GENERAL!$B:$B,'datos por personal'!H$1,GENERAL!$G:$G,'datos por personal'!$B71)</f>
        <v>0</v>
      </c>
      <c r="J71" s="135">
        <f t="shared" si="1"/>
        <v>3</v>
      </c>
    </row>
    <row r="72" spans="1:10">
      <c r="A72" s="134" t="s">
        <v>1873</v>
      </c>
      <c r="B72" s="162" t="s">
        <v>994</v>
      </c>
      <c r="C72" s="137">
        <f>+COUNTIFS(GENERAL!$B:$B,'datos por personal'!C$1,GENERAL!$G:$G,'datos por personal'!$B72)</f>
        <v>0</v>
      </c>
      <c r="D72" s="137">
        <f>+COUNTIFS(GENERAL!$B:$B,'datos por personal'!D$1,GENERAL!$G:$G,'datos por personal'!$B72)</f>
        <v>0</v>
      </c>
      <c r="E72" s="137">
        <f>+COUNTIFS(GENERAL!$B:$B,'datos por personal'!E$1,GENERAL!$G:$G,'datos por personal'!$B72)</f>
        <v>0</v>
      </c>
      <c r="F72" s="137">
        <f>+COUNTIFS(GENERAL!$B:$B,'datos por personal'!F$1,GENERAL!$G:$G,'datos por personal'!$B72)</f>
        <v>1</v>
      </c>
      <c r="G72" s="137">
        <f>+COUNTIFS(GENERAL!$B:$B,'datos por personal'!G$1,GENERAL!$G:$G,'datos por personal'!$B72)</f>
        <v>1</v>
      </c>
      <c r="H72" s="137">
        <f>+COUNTIFS(GENERAL!$B:$B,'datos por personal'!H$1,GENERAL!$G:$G,'datos por personal'!$B72)</f>
        <v>1</v>
      </c>
      <c r="J72" s="135">
        <f t="shared" si="1"/>
        <v>3</v>
      </c>
    </row>
    <row r="73" spans="1:10">
      <c r="A73" s="134" t="s">
        <v>1873</v>
      </c>
      <c r="B73" s="162" t="s">
        <v>1039</v>
      </c>
      <c r="C73" s="137">
        <f>+COUNTIFS(GENERAL!$B:$B,'datos por personal'!C$1,GENERAL!$G:$G,'datos por personal'!$B73)</f>
        <v>0</v>
      </c>
      <c r="D73" s="137">
        <f>+COUNTIFS(GENERAL!$B:$B,'datos por personal'!D$1,GENERAL!$G:$G,'datos por personal'!$B73)</f>
        <v>0</v>
      </c>
      <c r="E73" s="137">
        <f>+COUNTIFS(GENERAL!$B:$B,'datos por personal'!E$1,GENERAL!$G:$G,'datos por personal'!$B73)</f>
        <v>0</v>
      </c>
      <c r="F73" s="137">
        <f>+COUNTIFS(GENERAL!$B:$B,'datos por personal'!F$1,GENERAL!$G:$G,'datos por personal'!$B73)</f>
        <v>1</v>
      </c>
      <c r="G73" s="137">
        <f>+COUNTIFS(GENERAL!$B:$B,'datos por personal'!G$1,GENERAL!$G:$G,'datos por personal'!$B73)</f>
        <v>0</v>
      </c>
      <c r="H73" s="137">
        <f>+COUNTIFS(GENERAL!$B:$B,'datos por personal'!H$1,GENERAL!$G:$G,'datos por personal'!$B73)</f>
        <v>0</v>
      </c>
      <c r="J73" s="135">
        <f t="shared" si="1"/>
        <v>1</v>
      </c>
    </row>
    <row r="74" spans="1:10">
      <c r="A74" s="134" t="s">
        <v>1873</v>
      </c>
      <c r="B74" s="162" t="s">
        <v>1060</v>
      </c>
      <c r="C74" s="137">
        <f>+COUNTIFS(GENERAL!$B:$B,'datos por personal'!C$1,GENERAL!$G:$G,'datos por personal'!$B74)</f>
        <v>0</v>
      </c>
      <c r="D74" s="137">
        <f>+COUNTIFS(GENERAL!$B:$B,'datos por personal'!D$1,GENERAL!$G:$G,'datos por personal'!$B74)</f>
        <v>0</v>
      </c>
      <c r="E74" s="137">
        <f>+COUNTIFS(GENERAL!$B:$B,'datos por personal'!E$1,GENERAL!$G:$G,'datos por personal'!$B74)</f>
        <v>0</v>
      </c>
      <c r="F74" s="137">
        <f>+COUNTIFS(GENERAL!$B:$B,'datos por personal'!F$1,GENERAL!$G:$G,'datos por personal'!$B74)</f>
        <v>3</v>
      </c>
      <c r="G74" s="137">
        <f>+COUNTIFS(GENERAL!$B:$B,'datos por personal'!G$1,GENERAL!$G:$G,'datos por personal'!$B74)</f>
        <v>1</v>
      </c>
      <c r="H74" s="137">
        <f>+COUNTIFS(GENERAL!$B:$B,'datos por personal'!H$1,GENERAL!$G:$G,'datos por personal'!$B74)</f>
        <v>0</v>
      </c>
      <c r="J74" s="135">
        <f t="shared" si="1"/>
        <v>4</v>
      </c>
    </row>
    <row r="75" spans="1:10">
      <c r="A75" s="134" t="s">
        <v>1873</v>
      </c>
      <c r="B75" s="162" t="s">
        <v>1090</v>
      </c>
      <c r="C75" s="137">
        <f>+COUNTIFS(GENERAL!$B:$B,'datos por personal'!C$1,GENERAL!$G:$G,'datos por personal'!$B75)</f>
        <v>0</v>
      </c>
      <c r="D75" s="137">
        <f>+COUNTIFS(GENERAL!$B:$B,'datos por personal'!D$1,GENERAL!$G:$G,'datos por personal'!$B75)</f>
        <v>0</v>
      </c>
      <c r="E75" s="137">
        <f>+COUNTIFS(GENERAL!$B:$B,'datos por personal'!E$1,GENERAL!$G:$G,'datos por personal'!$B75)</f>
        <v>0</v>
      </c>
      <c r="F75" s="137">
        <f>+COUNTIFS(GENERAL!$B:$B,'datos por personal'!F$1,GENERAL!$G:$G,'datos por personal'!$B75)</f>
        <v>1</v>
      </c>
      <c r="G75" s="137">
        <f>+COUNTIFS(GENERAL!$B:$B,'datos por personal'!G$1,GENERAL!$G:$G,'datos por personal'!$B75)</f>
        <v>2</v>
      </c>
      <c r="H75" s="137">
        <f>+COUNTIFS(GENERAL!$B:$B,'datos por personal'!H$1,GENERAL!$G:$G,'datos por personal'!$B75)</f>
        <v>2</v>
      </c>
      <c r="J75" s="135">
        <f t="shared" si="1"/>
        <v>5</v>
      </c>
    </row>
    <row r="76" spans="1:10">
      <c r="A76" s="134" t="s">
        <v>1873</v>
      </c>
      <c r="B76" s="162" t="s">
        <v>1102</v>
      </c>
      <c r="C76" s="137">
        <f>+COUNTIFS(GENERAL!$B:$B,'datos por personal'!C$1,GENERAL!$G:$G,'datos por personal'!$B76)</f>
        <v>0</v>
      </c>
      <c r="D76" s="137">
        <f>+COUNTIFS(GENERAL!$B:$B,'datos por personal'!D$1,GENERAL!$G:$G,'datos por personal'!$B76)</f>
        <v>0</v>
      </c>
      <c r="E76" s="137">
        <f>+COUNTIFS(GENERAL!$B:$B,'datos por personal'!E$1,GENERAL!$G:$G,'datos por personal'!$B76)</f>
        <v>0</v>
      </c>
      <c r="F76" s="137">
        <f>+COUNTIFS(GENERAL!$B:$B,'datos por personal'!F$1,GENERAL!$G:$G,'datos por personal'!$B76)</f>
        <v>2</v>
      </c>
      <c r="G76" s="137">
        <f>+COUNTIFS(GENERAL!$B:$B,'datos por personal'!G$1,GENERAL!$G:$G,'datos por personal'!$B76)</f>
        <v>0</v>
      </c>
      <c r="H76" s="137">
        <f>+COUNTIFS(GENERAL!$B:$B,'datos por personal'!H$1,GENERAL!$G:$G,'datos por personal'!$B76)</f>
        <v>0</v>
      </c>
      <c r="J76" s="135">
        <f t="shared" si="1"/>
        <v>2</v>
      </c>
    </row>
    <row r="77" spans="1:10">
      <c r="A77" s="134" t="s">
        <v>1873</v>
      </c>
      <c r="B77" s="162" t="s">
        <v>1155</v>
      </c>
      <c r="C77" s="137">
        <f>+COUNTIFS(GENERAL!$B:$B,'datos por personal'!C$1,GENERAL!$G:$G,'datos por personal'!$B77)</f>
        <v>0</v>
      </c>
      <c r="D77" s="137">
        <f>+COUNTIFS(GENERAL!$B:$B,'datos por personal'!D$1,GENERAL!$G:$G,'datos por personal'!$B77)</f>
        <v>0</v>
      </c>
      <c r="E77" s="137">
        <f>+COUNTIFS(GENERAL!$B:$B,'datos por personal'!E$1,GENERAL!$G:$G,'datos por personal'!$B77)</f>
        <v>0</v>
      </c>
      <c r="F77" s="137">
        <f>+COUNTIFS(GENERAL!$B:$B,'datos por personal'!F$1,GENERAL!$G:$G,'datos por personal'!$B77)</f>
        <v>1</v>
      </c>
      <c r="G77" s="137">
        <f>+COUNTIFS(GENERAL!$B:$B,'datos por personal'!G$1,GENERAL!$G:$G,'datos por personal'!$B77)</f>
        <v>0</v>
      </c>
      <c r="H77" s="137">
        <f>+COUNTIFS(GENERAL!$B:$B,'datos por personal'!H$1,GENERAL!$G:$G,'datos por personal'!$B77)</f>
        <v>1</v>
      </c>
      <c r="J77" s="135">
        <f t="shared" si="1"/>
        <v>2</v>
      </c>
    </row>
    <row r="78" spans="1:10">
      <c r="A78" s="134" t="s">
        <v>1873</v>
      </c>
      <c r="B78" s="162" t="s">
        <v>1175</v>
      </c>
      <c r="C78" s="137">
        <f>+COUNTIFS(GENERAL!$B:$B,'datos por personal'!C$1,GENERAL!$G:$G,'datos por personal'!$B78)</f>
        <v>0</v>
      </c>
      <c r="D78" s="137">
        <f>+COUNTIFS(GENERAL!$B:$B,'datos por personal'!D$1,GENERAL!$G:$G,'datos por personal'!$B78)</f>
        <v>0</v>
      </c>
      <c r="E78" s="137">
        <f>+COUNTIFS(GENERAL!$B:$B,'datos por personal'!E$1,GENERAL!$G:$G,'datos por personal'!$B78)</f>
        <v>0</v>
      </c>
      <c r="F78" s="137">
        <f>+COUNTIFS(GENERAL!$B:$B,'datos por personal'!F$1,GENERAL!$G:$G,'datos por personal'!$B78)</f>
        <v>2</v>
      </c>
      <c r="G78" s="137">
        <f>+COUNTIFS(GENERAL!$B:$B,'datos por personal'!G$1,GENERAL!$G:$G,'datos por personal'!$B78)</f>
        <v>1</v>
      </c>
      <c r="H78" s="137">
        <f>+COUNTIFS(GENERAL!$B:$B,'datos por personal'!H$1,GENERAL!$G:$G,'datos por personal'!$B78)</f>
        <v>2</v>
      </c>
      <c r="J78" s="135">
        <f t="shared" si="1"/>
        <v>5</v>
      </c>
    </row>
    <row r="79" spans="1:10">
      <c r="A79" s="134" t="s">
        <v>1873</v>
      </c>
      <c r="B79" s="162" t="s">
        <v>1205</v>
      </c>
      <c r="C79" s="137">
        <f>+COUNTIFS(GENERAL!$B:$B,'datos por personal'!C$1,GENERAL!$G:$G,'datos por personal'!$B79)</f>
        <v>0</v>
      </c>
      <c r="D79" s="137">
        <f>+COUNTIFS(GENERAL!$B:$B,'datos por personal'!D$1,GENERAL!$G:$G,'datos por personal'!$B79)</f>
        <v>0</v>
      </c>
      <c r="E79" s="137">
        <f>+COUNTIFS(GENERAL!$B:$B,'datos por personal'!E$1,GENERAL!$G:$G,'datos por personal'!$B79)</f>
        <v>0</v>
      </c>
      <c r="F79" s="137">
        <f>+COUNTIFS(GENERAL!$B:$B,'datos por personal'!F$1,GENERAL!$G:$G,'datos por personal'!$B79)</f>
        <v>1</v>
      </c>
      <c r="G79" s="137">
        <f>+COUNTIFS(GENERAL!$B:$B,'datos por personal'!G$1,GENERAL!$G:$G,'datos por personal'!$B79)</f>
        <v>1</v>
      </c>
      <c r="H79" s="137">
        <f>+COUNTIFS(GENERAL!$B:$B,'datos por personal'!H$1,GENERAL!$G:$G,'datos por personal'!$B79)</f>
        <v>0</v>
      </c>
      <c r="J79" s="135">
        <f t="shared" si="1"/>
        <v>2</v>
      </c>
    </row>
    <row r="80" spans="1:10">
      <c r="A80" s="134" t="s">
        <v>1873</v>
      </c>
      <c r="B80" s="162" t="s">
        <v>1211</v>
      </c>
      <c r="C80" s="137">
        <f>+COUNTIFS(GENERAL!$B:$B,'datos por personal'!C$1,GENERAL!$G:$G,'datos por personal'!$B80)</f>
        <v>0</v>
      </c>
      <c r="D80" s="137">
        <f>+COUNTIFS(GENERAL!$B:$B,'datos por personal'!D$1,GENERAL!$G:$G,'datos por personal'!$B80)</f>
        <v>0</v>
      </c>
      <c r="E80" s="137">
        <f>+COUNTIFS(GENERAL!$B:$B,'datos por personal'!E$1,GENERAL!$G:$G,'datos por personal'!$B80)</f>
        <v>0</v>
      </c>
      <c r="F80" s="137">
        <f>+COUNTIFS(GENERAL!$B:$B,'datos por personal'!F$1,GENERAL!$G:$G,'datos por personal'!$B80)</f>
        <v>1</v>
      </c>
      <c r="G80" s="137">
        <f>+COUNTIFS(GENERAL!$B:$B,'datos por personal'!G$1,GENERAL!$G:$G,'datos por personal'!$B80)</f>
        <v>0</v>
      </c>
      <c r="H80" s="137">
        <f>+COUNTIFS(GENERAL!$B:$B,'datos por personal'!H$1,GENERAL!$G:$G,'datos por personal'!$B80)</f>
        <v>0</v>
      </c>
      <c r="J80" s="135">
        <f t="shared" si="1"/>
        <v>1</v>
      </c>
    </row>
    <row r="81" spans="1:10">
      <c r="A81" s="134" t="s">
        <v>1873</v>
      </c>
      <c r="B81" s="162" t="s">
        <v>1277</v>
      </c>
      <c r="C81" s="137">
        <f>+COUNTIFS(GENERAL!$B:$B,'datos por personal'!C$1,GENERAL!$G:$G,'datos por personal'!$B81)</f>
        <v>0</v>
      </c>
      <c r="D81" s="137">
        <f>+COUNTIFS(GENERAL!$B:$B,'datos por personal'!D$1,GENERAL!$G:$G,'datos por personal'!$B81)</f>
        <v>0</v>
      </c>
      <c r="E81" s="137">
        <f>+COUNTIFS(GENERAL!$B:$B,'datos por personal'!E$1,GENERAL!$G:$G,'datos por personal'!$B81)</f>
        <v>0</v>
      </c>
      <c r="F81" s="137">
        <f>+COUNTIFS(GENERAL!$B:$B,'datos por personal'!F$1,GENERAL!$G:$G,'datos por personal'!$B81)</f>
        <v>1</v>
      </c>
      <c r="G81" s="137">
        <f>+COUNTIFS(GENERAL!$B:$B,'datos por personal'!G$1,GENERAL!$G:$G,'datos por personal'!$B81)</f>
        <v>0</v>
      </c>
      <c r="H81" s="137">
        <f>+COUNTIFS(GENERAL!$B:$B,'datos por personal'!H$1,GENERAL!$G:$G,'datos por personal'!$B81)</f>
        <v>0</v>
      </c>
      <c r="J81" s="135">
        <f t="shared" si="1"/>
        <v>1</v>
      </c>
    </row>
    <row r="82" spans="1:10">
      <c r="A82" s="134" t="s">
        <v>1873</v>
      </c>
      <c r="B82" s="162" t="s">
        <v>1306</v>
      </c>
      <c r="C82" s="137">
        <f>+COUNTIFS(GENERAL!$B:$B,'datos por personal'!C$1,GENERAL!$G:$G,'datos por personal'!$B82)</f>
        <v>0</v>
      </c>
      <c r="D82" s="137">
        <f>+COUNTIFS(GENERAL!$B:$B,'datos por personal'!D$1,GENERAL!$G:$G,'datos por personal'!$B82)</f>
        <v>0</v>
      </c>
      <c r="E82" s="137">
        <f>+COUNTIFS(GENERAL!$B:$B,'datos por personal'!E$1,GENERAL!$G:$G,'datos por personal'!$B82)</f>
        <v>0</v>
      </c>
      <c r="F82" s="137">
        <f>+COUNTIFS(GENERAL!$B:$B,'datos por personal'!F$1,GENERAL!$G:$G,'datos por personal'!$B82)</f>
        <v>0</v>
      </c>
      <c r="G82" s="137">
        <f>+COUNTIFS(GENERAL!$B:$B,'datos por personal'!G$1,GENERAL!$G:$G,'datos por personal'!$B82)</f>
        <v>1</v>
      </c>
      <c r="H82" s="137">
        <f>+COUNTIFS(GENERAL!$B:$B,'datos por personal'!H$1,GENERAL!$G:$G,'datos por personal'!$B82)</f>
        <v>1</v>
      </c>
      <c r="J82" s="135">
        <f t="shared" si="1"/>
        <v>2</v>
      </c>
    </row>
    <row r="83" spans="1:10">
      <c r="A83" s="134" t="s">
        <v>1873</v>
      </c>
      <c r="B83" s="162" t="s">
        <v>1313</v>
      </c>
      <c r="C83" s="137">
        <f>+COUNTIFS(GENERAL!$B:$B,'datos por personal'!C$1,GENERAL!$G:$G,'datos por personal'!$B83)</f>
        <v>0</v>
      </c>
      <c r="D83" s="137">
        <f>+COUNTIFS(GENERAL!$B:$B,'datos por personal'!D$1,GENERAL!$G:$G,'datos por personal'!$B83)</f>
        <v>0</v>
      </c>
      <c r="E83" s="137">
        <f>+COUNTIFS(GENERAL!$B:$B,'datos por personal'!E$1,GENERAL!$G:$G,'datos por personal'!$B83)</f>
        <v>0</v>
      </c>
      <c r="F83" s="137">
        <f>+COUNTIFS(GENERAL!$B:$B,'datos por personal'!F$1,GENERAL!$G:$G,'datos por personal'!$B83)</f>
        <v>0</v>
      </c>
      <c r="G83" s="137">
        <f>+COUNTIFS(GENERAL!$B:$B,'datos por personal'!G$1,GENERAL!$G:$G,'datos por personal'!$B83)</f>
        <v>1</v>
      </c>
      <c r="H83" s="137">
        <f>+COUNTIFS(GENERAL!$B:$B,'datos por personal'!H$1,GENERAL!$G:$G,'datos por personal'!$B83)</f>
        <v>0</v>
      </c>
      <c r="J83" s="135">
        <f t="shared" si="1"/>
        <v>1</v>
      </c>
    </row>
    <row r="84" spans="1:10">
      <c r="A84" s="134" t="s">
        <v>1873</v>
      </c>
      <c r="B84" s="162" t="s">
        <v>1319</v>
      </c>
      <c r="C84" s="137">
        <f>+COUNTIFS(GENERAL!$B:$B,'datos por personal'!C$1,GENERAL!$G:$G,'datos por personal'!$B84)</f>
        <v>0</v>
      </c>
      <c r="D84" s="137">
        <f>+COUNTIFS(GENERAL!$B:$B,'datos por personal'!D$1,GENERAL!$G:$G,'datos por personal'!$B84)</f>
        <v>0</v>
      </c>
      <c r="E84" s="137">
        <f>+COUNTIFS(GENERAL!$B:$B,'datos por personal'!E$1,GENERAL!$G:$G,'datos por personal'!$B84)</f>
        <v>0</v>
      </c>
      <c r="F84" s="137">
        <f>+COUNTIFS(GENERAL!$B:$B,'datos por personal'!F$1,GENERAL!$G:$G,'datos por personal'!$B84)</f>
        <v>0</v>
      </c>
      <c r="G84" s="137">
        <f>+COUNTIFS(GENERAL!$B:$B,'datos por personal'!G$1,GENERAL!$G:$G,'datos por personal'!$B84)</f>
        <v>2</v>
      </c>
      <c r="H84" s="137">
        <f>+COUNTIFS(GENERAL!$B:$B,'datos por personal'!H$1,GENERAL!$G:$G,'datos por personal'!$B84)</f>
        <v>1</v>
      </c>
      <c r="J84" s="135">
        <f t="shared" si="1"/>
        <v>3</v>
      </c>
    </row>
    <row r="85" spans="1:10">
      <c r="A85" s="134" t="s">
        <v>1873</v>
      </c>
      <c r="B85" s="162" t="s">
        <v>1405</v>
      </c>
      <c r="C85" s="137">
        <f>+COUNTIFS(GENERAL!$B:$B,'datos por personal'!C$1,GENERAL!$G:$G,'datos por personal'!$B85)</f>
        <v>0</v>
      </c>
      <c r="D85" s="137">
        <f>+COUNTIFS(GENERAL!$B:$B,'datos por personal'!D$1,GENERAL!$G:$G,'datos por personal'!$B85)</f>
        <v>0</v>
      </c>
      <c r="E85" s="137">
        <f>+COUNTIFS(GENERAL!$B:$B,'datos por personal'!E$1,GENERAL!$G:$G,'datos por personal'!$B85)</f>
        <v>0</v>
      </c>
      <c r="F85" s="137">
        <f>+COUNTIFS(GENERAL!$B:$B,'datos por personal'!F$1,GENERAL!$G:$G,'datos por personal'!$B85)</f>
        <v>0</v>
      </c>
      <c r="G85" s="137">
        <f>+COUNTIFS(GENERAL!$B:$B,'datos por personal'!G$1,GENERAL!$G:$G,'datos por personal'!$B85)</f>
        <v>3</v>
      </c>
      <c r="H85" s="137">
        <f>+COUNTIFS(GENERAL!$B:$B,'datos por personal'!H$1,GENERAL!$G:$G,'datos por personal'!$B85)</f>
        <v>0</v>
      </c>
      <c r="J85" s="135">
        <f t="shared" si="1"/>
        <v>3</v>
      </c>
    </row>
    <row r="86" spans="1:10">
      <c r="A86" s="134" t="s">
        <v>1873</v>
      </c>
      <c r="B86" s="162" t="s">
        <v>1422</v>
      </c>
      <c r="C86" s="137">
        <f>+COUNTIFS(GENERAL!$B:$B,'datos por personal'!C$1,GENERAL!$G:$G,'datos por personal'!$B86)</f>
        <v>0</v>
      </c>
      <c r="D86" s="137">
        <f>+COUNTIFS(GENERAL!$B:$B,'datos por personal'!D$1,GENERAL!$G:$G,'datos por personal'!$B86)</f>
        <v>0</v>
      </c>
      <c r="E86" s="137">
        <f>+COUNTIFS(GENERAL!$B:$B,'datos por personal'!E$1,GENERAL!$G:$G,'datos por personal'!$B86)</f>
        <v>0</v>
      </c>
      <c r="F86" s="137">
        <f>+COUNTIFS(GENERAL!$B:$B,'datos por personal'!F$1,GENERAL!$G:$G,'datos por personal'!$B86)</f>
        <v>0</v>
      </c>
      <c r="G86" s="137">
        <f>+COUNTIFS(GENERAL!$B:$B,'datos por personal'!G$1,GENERAL!$G:$G,'datos por personal'!$B86)</f>
        <v>1</v>
      </c>
      <c r="H86" s="137">
        <f>+COUNTIFS(GENERAL!$B:$B,'datos por personal'!H$1,GENERAL!$G:$G,'datos por personal'!$B86)</f>
        <v>0</v>
      </c>
      <c r="J86" s="135">
        <f t="shared" si="1"/>
        <v>1</v>
      </c>
    </row>
    <row r="87" spans="1:10">
      <c r="A87" s="134" t="s">
        <v>1873</v>
      </c>
      <c r="B87" s="162" t="s">
        <v>1434</v>
      </c>
      <c r="C87" s="137">
        <f>+COUNTIFS(GENERAL!$B:$B,'datos por personal'!C$1,GENERAL!$G:$G,'datos por personal'!$B87)</f>
        <v>0</v>
      </c>
      <c r="D87" s="137">
        <f>+COUNTIFS(GENERAL!$B:$B,'datos por personal'!D$1,GENERAL!$G:$G,'datos por personal'!$B87)</f>
        <v>0</v>
      </c>
      <c r="E87" s="137">
        <f>+COUNTIFS(GENERAL!$B:$B,'datos por personal'!E$1,GENERAL!$G:$G,'datos por personal'!$B87)</f>
        <v>0</v>
      </c>
      <c r="F87" s="137">
        <f>+COUNTIFS(GENERAL!$B:$B,'datos por personal'!F$1,GENERAL!$G:$G,'datos por personal'!$B87)</f>
        <v>0</v>
      </c>
      <c r="G87" s="137">
        <f>+COUNTIFS(GENERAL!$B:$B,'datos por personal'!G$1,GENERAL!$G:$G,'datos por personal'!$B87)</f>
        <v>1</v>
      </c>
      <c r="H87" s="137">
        <f>+COUNTIFS(GENERAL!$B:$B,'datos por personal'!H$1,GENERAL!$G:$G,'datos por personal'!$B87)</f>
        <v>0</v>
      </c>
      <c r="J87" s="135">
        <f t="shared" si="1"/>
        <v>1</v>
      </c>
    </row>
    <row r="88" spans="1:10">
      <c r="A88" s="134" t="s">
        <v>1873</v>
      </c>
      <c r="B88" s="162" t="s">
        <v>1491</v>
      </c>
      <c r="C88" s="137">
        <f>+COUNTIFS(GENERAL!$B:$B,'datos por personal'!C$1,GENERAL!$G:$G,'datos por personal'!$B88)</f>
        <v>0</v>
      </c>
      <c r="D88" s="137">
        <f>+COUNTIFS(GENERAL!$B:$B,'datos por personal'!D$1,GENERAL!$G:$G,'datos por personal'!$B88)</f>
        <v>0</v>
      </c>
      <c r="E88" s="137">
        <f>+COUNTIFS(GENERAL!$B:$B,'datos por personal'!E$1,GENERAL!$G:$G,'datos por personal'!$B88)</f>
        <v>0</v>
      </c>
      <c r="F88" s="137">
        <f>+COUNTIFS(GENERAL!$B:$B,'datos por personal'!F$1,GENERAL!$G:$G,'datos por personal'!$B88)</f>
        <v>0</v>
      </c>
      <c r="G88" s="137">
        <f>+COUNTIFS(GENERAL!$B:$B,'datos por personal'!G$1,GENERAL!$G:$G,'datos por personal'!$B88)</f>
        <v>1</v>
      </c>
      <c r="H88" s="137">
        <f>+COUNTIFS(GENERAL!$B:$B,'datos por personal'!H$1,GENERAL!$G:$G,'datos por personal'!$B88)</f>
        <v>0</v>
      </c>
      <c r="J88" s="135">
        <f t="shared" si="1"/>
        <v>1</v>
      </c>
    </row>
    <row r="89" spans="1:10">
      <c r="A89" s="134" t="s">
        <v>1873</v>
      </c>
      <c r="B89" s="162" t="s">
        <v>1506</v>
      </c>
      <c r="C89" s="137">
        <f>+COUNTIFS(GENERAL!$B:$B,'datos por personal'!C$1,GENERAL!$G:$G,'datos por personal'!$B89)</f>
        <v>0</v>
      </c>
      <c r="D89" s="137">
        <f>+COUNTIFS(GENERAL!$B:$B,'datos por personal'!D$1,GENERAL!$G:$G,'datos por personal'!$B89)</f>
        <v>0</v>
      </c>
      <c r="E89" s="137">
        <f>+COUNTIFS(GENERAL!$B:$B,'datos por personal'!E$1,GENERAL!$G:$G,'datos por personal'!$B89)</f>
        <v>0</v>
      </c>
      <c r="F89" s="137">
        <f>+COUNTIFS(GENERAL!$B:$B,'datos por personal'!F$1,GENERAL!$G:$G,'datos por personal'!$B89)</f>
        <v>0</v>
      </c>
      <c r="G89" s="137">
        <f>+COUNTIFS(GENERAL!$B:$B,'datos por personal'!G$1,GENERAL!$G:$G,'datos por personal'!$B89)</f>
        <v>1</v>
      </c>
      <c r="H89" s="137">
        <f>+COUNTIFS(GENERAL!$B:$B,'datos por personal'!H$1,GENERAL!$G:$G,'datos por personal'!$B89)</f>
        <v>1</v>
      </c>
      <c r="J89" s="135">
        <f t="shared" si="1"/>
        <v>2</v>
      </c>
    </row>
    <row r="90" spans="1:10">
      <c r="A90" s="134" t="s">
        <v>1873</v>
      </c>
      <c r="B90" s="162" t="s">
        <v>1560</v>
      </c>
      <c r="C90" s="137">
        <f>+COUNTIFS(GENERAL!$B:$B,'datos por personal'!C$1,GENERAL!$G:$G,'datos por personal'!$B90)</f>
        <v>0</v>
      </c>
      <c r="D90" s="137">
        <f>+COUNTIFS(GENERAL!$B:$B,'datos por personal'!D$1,GENERAL!$G:$G,'datos por personal'!$B90)</f>
        <v>0</v>
      </c>
      <c r="E90" s="137">
        <f>+COUNTIFS(GENERAL!$B:$B,'datos por personal'!E$1,GENERAL!$G:$G,'datos por personal'!$B90)</f>
        <v>0</v>
      </c>
      <c r="F90" s="137">
        <f>+COUNTIFS(GENERAL!$B:$B,'datos por personal'!F$1,GENERAL!$G:$G,'datos por personal'!$B90)</f>
        <v>0</v>
      </c>
      <c r="G90" s="137">
        <f>+COUNTIFS(GENERAL!$B:$B,'datos por personal'!G$1,GENERAL!$G:$G,'datos por personal'!$B90)</f>
        <v>1</v>
      </c>
      <c r="H90" s="137">
        <f>+COUNTIFS(GENERAL!$B:$B,'datos por personal'!H$1,GENERAL!$G:$G,'datos por personal'!$B90)</f>
        <v>0</v>
      </c>
      <c r="J90" s="135">
        <f t="shared" si="1"/>
        <v>1</v>
      </c>
    </row>
    <row r="91" spans="1:10">
      <c r="A91" s="134" t="s">
        <v>1873</v>
      </c>
      <c r="B91" s="162" t="s">
        <v>1617</v>
      </c>
      <c r="C91" s="137">
        <f>+COUNTIFS(GENERAL!$B:$B,'datos por personal'!C$1,GENERAL!$G:$G,'datos por personal'!$B91)</f>
        <v>0</v>
      </c>
      <c r="D91" s="137">
        <f>+COUNTIFS(GENERAL!$B:$B,'datos por personal'!D$1,GENERAL!$G:$G,'datos por personal'!$B91)</f>
        <v>0</v>
      </c>
      <c r="E91" s="137">
        <f>+COUNTIFS(GENERAL!$B:$B,'datos por personal'!E$1,GENERAL!$G:$G,'datos por personal'!$B91)</f>
        <v>0</v>
      </c>
      <c r="F91" s="137">
        <f>+COUNTIFS(GENERAL!$B:$B,'datos por personal'!F$1,GENERAL!$G:$G,'datos por personal'!$B91)</f>
        <v>0</v>
      </c>
      <c r="G91" s="137">
        <f>+COUNTIFS(GENERAL!$B:$B,'datos por personal'!G$1,GENERAL!$G:$G,'datos por personal'!$B91)</f>
        <v>1</v>
      </c>
      <c r="H91" s="137">
        <f>+COUNTIFS(GENERAL!$B:$B,'datos por personal'!H$1,GENERAL!$G:$G,'datos por personal'!$B91)</f>
        <v>0</v>
      </c>
      <c r="J91" s="135">
        <f t="shared" si="1"/>
        <v>1</v>
      </c>
    </row>
    <row r="92" spans="1:10">
      <c r="A92" s="162" t="s">
        <v>1874</v>
      </c>
      <c r="B92" s="163" t="s">
        <v>28</v>
      </c>
      <c r="C92" s="137">
        <f>+COUNTIFS(GENERAL!$B:$B,'datos por personal'!C$1,GENERAL!$H:$H,'datos por personal'!$B92)</f>
        <v>4</v>
      </c>
      <c r="D92" s="137">
        <f>+COUNTIFS(GENERAL!$B:$B,'datos por personal'!D$1,GENERAL!$H:$H,'datos por personal'!$B92)</f>
        <v>2</v>
      </c>
      <c r="E92" s="137">
        <f>+COUNTIFS(GENERAL!$B:$B,'datos por personal'!E$1,GENERAL!$H:$H,'datos por personal'!$B92)</f>
        <v>0</v>
      </c>
      <c r="F92" s="137">
        <f>+COUNTIFS(GENERAL!$B:$B,'datos por personal'!F$1,GENERAL!$H:$H,'datos por personal'!$B92)</f>
        <v>1</v>
      </c>
      <c r="G92" s="137">
        <f>+COUNTIFS(GENERAL!$B:$B,'datos por personal'!G$1,GENERAL!$H:$H,'datos por personal'!$B92)</f>
        <v>0</v>
      </c>
      <c r="H92" s="137">
        <f>+COUNTIFS(GENERAL!$B:$B,'datos por personal'!H$1,GENERAL!$H:$H,'datos por personal'!$B92)</f>
        <v>0</v>
      </c>
      <c r="J92" s="135">
        <f t="shared" si="1"/>
        <v>7</v>
      </c>
    </row>
    <row r="93" spans="1:10">
      <c r="A93" s="162" t="s">
        <v>1874</v>
      </c>
      <c r="B93" s="163" t="s">
        <v>47</v>
      </c>
      <c r="C93" s="137">
        <f>+COUNTIFS(GENERAL!$B:$B,'datos por personal'!C$1,GENERAL!$H:$H,'datos por personal'!$B93)</f>
        <v>1</v>
      </c>
      <c r="D93" s="137">
        <f>+COUNTIFS(GENERAL!$B:$B,'datos por personal'!D$1,GENERAL!$H:$H,'datos por personal'!$B93)</f>
        <v>0</v>
      </c>
      <c r="E93" s="137">
        <f>+COUNTIFS(GENERAL!$B:$B,'datos por personal'!E$1,GENERAL!$H:$H,'datos por personal'!$B93)</f>
        <v>1</v>
      </c>
      <c r="F93" s="137">
        <f>+COUNTIFS(GENERAL!$B:$B,'datos por personal'!F$1,GENERAL!$H:$H,'datos por personal'!$B93)</f>
        <v>1</v>
      </c>
      <c r="G93" s="137">
        <f>+COUNTIFS(GENERAL!$B:$B,'datos por personal'!G$1,GENERAL!$H:$H,'datos por personal'!$B93)</f>
        <v>1</v>
      </c>
      <c r="H93" s="137">
        <f>+COUNTIFS(GENERAL!$B:$B,'datos por personal'!H$1,GENERAL!$H:$H,'datos por personal'!$B93)</f>
        <v>0</v>
      </c>
      <c r="J93" s="135">
        <f t="shared" si="1"/>
        <v>4</v>
      </c>
    </row>
    <row r="94" spans="1:10">
      <c r="A94" s="162" t="s">
        <v>1874</v>
      </c>
      <c r="B94" s="163" t="s">
        <v>55</v>
      </c>
      <c r="C94" s="137">
        <f>+COUNTIFS(GENERAL!$B:$B,'datos por personal'!C$1,GENERAL!$H:$H,'datos por personal'!$B94)</f>
        <v>3</v>
      </c>
      <c r="D94" s="137">
        <f>+COUNTIFS(GENERAL!$B:$B,'datos por personal'!D$1,GENERAL!$H:$H,'datos por personal'!$B94)</f>
        <v>2</v>
      </c>
      <c r="E94" s="137">
        <f>+COUNTIFS(GENERAL!$B:$B,'datos por personal'!E$1,GENERAL!$H:$H,'datos por personal'!$B94)</f>
        <v>0</v>
      </c>
      <c r="F94" s="137">
        <f>+COUNTIFS(GENERAL!$B:$B,'datos por personal'!F$1,GENERAL!$H:$H,'datos por personal'!$B94)</f>
        <v>0</v>
      </c>
      <c r="G94" s="137">
        <f>+COUNTIFS(GENERAL!$B:$B,'datos por personal'!G$1,GENERAL!$H:$H,'datos por personal'!$B94)</f>
        <v>0</v>
      </c>
      <c r="H94" s="137">
        <f>+COUNTIFS(GENERAL!$B:$B,'datos por personal'!H$1,GENERAL!$H:$H,'datos por personal'!$B94)</f>
        <v>1</v>
      </c>
      <c r="J94" s="135">
        <f t="shared" si="1"/>
        <v>6</v>
      </c>
    </row>
    <row r="95" spans="1:10">
      <c r="A95" s="162" t="s">
        <v>1874</v>
      </c>
      <c r="B95" s="163" t="s">
        <v>61</v>
      </c>
      <c r="C95" s="137">
        <f>+COUNTIFS(GENERAL!$B:$B,'datos por personal'!C$1,GENERAL!$H:$H,'datos por personal'!$B95)</f>
        <v>1</v>
      </c>
      <c r="D95" s="137">
        <f>+COUNTIFS(GENERAL!$B:$B,'datos por personal'!D$1,GENERAL!$H:$H,'datos por personal'!$B95)</f>
        <v>1</v>
      </c>
      <c r="E95" s="137">
        <f>+COUNTIFS(GENERAL!$B:$B,'datos por personal'!E$1,GENERAL!$H:$H,'datos por personal'!$B95)</f>
        <v>1</v>
      </c>
      <c r="F95" s="137">
        <f>+COUNTIFS(GENERAL!$B:$B,'datos por personal'!F$1,GENERAL!$H:$H,'datos por personal'!$B95)</f>
        <v>2</v>
      </c>
      <c r="G95" s="137">
        <f>+COUNTIFS(GENERAL!$B:$B,'datos por personal'!G$1,GENERAL!$H:$H,'datos por personal'!$B95)</f>
        <v>1</v>
      </c>
      <c r="H95" s="137">
        <f>+COUNTIFS(GENERAL!$B:$B,'datos por personal'!H$1,GENERAL!$H:$H,'datos por personal'!$B95)</f>
        <v>0</v>
      </c>
      <c r="J95" s="135">
        <f t="shared" si="1"/>
        <v>6</v>
      </c>
    </row>
    <row r="96" spans="1:10">
      <c r="A96" s="162" t="s">
        <v>1874</v>
      </c>
      <c r="B96" s="164" t="s">
        <v>67</v>
      </c>
      <c r="C96" s="137">
        <f>+COUNTIFS(GENERAL!$B:$B,'datos por personal'!C$1,GENERAL!$H:$H,'datos por personal'!$B96)</f>
        <v>3</v>
      </c>
      <c r="D96" s="137">
        <f>+COUNTIFS(GENERAL!$B:$B,'datos por personal'!D$1,GENERAL!$H:$H,'datos por personal'!$B96)</f>
        <v>0</v>
      </c>
      <c r="E96" s="137">
        <f>+COUNTIFS(GENERAL!$B:$B,'datos por personal'!E$1,GENERAL!$H:$H,'datos por personal'!$B96)</f>
        <v>0</v>
      </c>
      <c r="F96" s="137">
        <f>+COUNTIFS(GENERAL!$B:$B,'datos por personal'!F$1,GENERAL!$H:$H,'datos por personal'!$B96)</f>
        <v>1</v>
      </c>
      <c r="G96" s="137">
        <f>+COUNTIFS(GENERAL!$B:$B,'datos por personal'!G$1,GENERAL!$H:$H,'datos por personal'!$B96)</f>
        <v>0</v>
      </c>
      <c r="H96" s="137">
        <f>+COUNTIFS(GENERAL!$B:$B,'datos por personal'!H$1,GENERAL!$H:$H,'datos por personal'!$B96)</f>
        <v>1</v>
      </c>
      <c r="J96" s="135">
        <f t="shared" si="1"/>
        <v>5</v>
      </c>
    </row>
    <row r="97" spans="1:10">
      <c r="A97" s="162" t="s">
        <v>1874</v>
      </c>
      <c r="B97" s="163" t="s">
        <v>72</v>
      </c>
      <c r="C97" s="137">
        <f>+COUNTIFS(GENERAL!$B:$B,'datos por personal'!C$1,GENERAL!$H:$H,'datos por personal'!$B97)</f>
        <v>2</v>
      </c>
      <c r="D97" s="137">
        <f>+COUNTIFS(GENERAL!$B:$B,'datos por personal'!D$1,GENERAL!$H:$H,'datos por personal'!$B97)</f>
        <v>0</v>
      </c>
      <c r="E97" s="137">
        <f>+COUNTIFS(GENERAL!$B:$B,'datos por personal'!E$1,GENERAL!$H:$H,'datos por personal'!$B97)</f>
        <v>2</v>
      </c>
      <c r="F97" s="137">
        <f>+COUNTIFS(GENERAL!$B:$B,'datos por personal'!F$1,GENERAL!$H:$H,'datos por personal'!$B97)</f>
        <v>1</v>
      </c>
      <c r="G97" s="137">
        <f>+COUNTIFS(GENERAL!$B:$B,'datos por personal'!G$1,GENERAL!$H:$H,'datos por personal'!$B97)</f>
        <v>0</v>
      </c>
      <c r="H97" s="137">
        <f>+COUNTIFS(GENERAL!$B:$B,'datos por personal'!H$1,GENERAL!$H:$H,'datos por personal'!$B97)</f>
        <v>0</v>
      </c>
      <c r="J97" s="135">
        <f t="shared" si="1"/>
        <v>5</v>
      </c>
    </row>
    <row r="98" spans="1:10">
      <c r="A98" s="162" t="s">
        <v>1874</v>
      </c>
      <c r="B98" s="163" t="s">
        <v>76</v>
      </c>
      <c r="C98" s="137">
        <f>+COUNTIFS(GENERAL!$B:$B,'datos por personal'!C$1,GENERAL!$H:$H,'datos por personal'!$B98)</f>
        <v>3</v>
      </c>
      <c r="D98" s="137">
        <f>+COUNTIFS(GENERAL!$B:$B,'datos por personal'!D$1,GENERAL!$H:$H,'datos por personal'!$B98)</f>
        <v>2</v>
      </c>
      <c r="E98" s="137">
        <f>+COUNTIFS(GENERAL!$B:$B,'datos por personal'!E$1,GENERAL!$H:$H,'datos por personal'!$B98)</f>
        <v>1</v>
      </c>
      <c r="F98" s="137">
        <f>+COUNTIFS(GENERAL!$B:$B,'datos por personal'!F$1,GENERAL!$H:$H,'datos por personal'!$B98)</f>
        <v>1</v>
      </c>
      <c r="G98" s="137">
        <f>+COUNTIFS(GENERAL!$B:$B,'datos por personal'!G$1,GENERAL!$H:$H,'datos por personal'!$B98)</f>
        <v>1</v>
      </c>
      <c r="H98" s="137">
        <f>+COUNTIFS(GENERAL!$B:$B,'datos por personal'!H$1,GENERAL!$H:$H,'datos por personal'!$B98)</f>
        <v>0</v>
      </c>
      <c r="J98" s="135">
        <f t="shared" si="1"/>
        <v>8</v>
      </c>
    </row>
    <row r="99" spans="1:10">
      <c r="A99" s="162" t="s">
        <v>1874</v>
      </c>
      <c r="B99" s="163" t="s">
        <v>84</v>
      </c>
      <c r="C99" s="137">
        <f>+COUNTIFS(GENERAL!$B:$B,'datos por personal'!C$1,GENERAL!$H:$H,'datos por personal'!$B99)</f>
        <v>3</v>
      </c>
      <c r="D99" s="137">
        <f>+COUNTIFS(GENERAL!$B:$B,'datos por personal'!D$1,GENERAL!$H:$H,'datos por personal'!$B99)</f>
        <v>3</v>
      </c>
      <c r="E99" s="137">
        <f>+COUNTIFS(GENERAL!$B:$B,'datos por personal'!E$1,GENERAL!$H:$H,'datos por personal'!$B99)</f>
        <v>0</v>
      </c>
      <c r="F99" s="137">
        <f>+COUNTIFS(GENERAL!$B:$B,'datos por personal'!F$1,GENERAL!$H:$H,'datos por personal'!$B99)</f>
        <v>0</v>
      </c>
      <c r="G99" s="137">
        <f>+COUNTIFS(GENERAL!$B:$B,'datos por personal'!G$1,GENERAL!$H:$H,'datos por personal'!$B99)</f>
        <v>1</v>
      </c>
      <c r="H99" s="137">
        <f>+COUNTIFS(GENERAL!$B:$B,'datos por personal'!H$1,GENERAL!$H:$H,'datos por personal'!$B99)</f>
        <v>1</v>
      </c>
      <c r="J99" s="135">
        <f t="shared" si="1"/>
        <v>8</v>
      </c>
    </row>
    <row r="100" spans="1:10">
      <c r="A100" s="162" t="s">
        <v>1874</v>
      </c>
      <c r="B100" s="163" t="s">
        <v>94</v>
      </c>
      <c r="C100" s="137">
        <f>+COUNTIFS(GENERAL!$B:$B,'datos por personal'!C$1,GENERAL!$H:$H,'datos por personal'!$B100)</f>
        <v>1</v>
      </c>
      <c r="D100" s="137">
        <f>+COUNTIFS(GENERAL!$B:$B,'datos por personal'!D$1,GENERAL!$H:$H,'datos por personal'!$B100)</f>
        <v>0</v>
      </c>
      <c r="E100" s="137">
        <f>+COUNTIFS(GENERAL!$B:$B,'datos por personal'!E$1,GENERAL!$H:$H,'datos por personal'!$B100)</f>
        <v>0</v>
      </c>
      <c r="F100" s="137">
        <f>+COUNTIFS(GENERAL!$B:$B,'datos por personal'!F$1,GENERAL!$H:$H,'datos por personal'!$B100)</f>
        <v>0</v>
      </c>
      <c r="G100" s="137">
        <f>+COUNTIFS(GENERAL!$B:$B,'datos por personal'!G$1,GENERAL!$H:$H,'datos por personal'!$B100)</f>
        <v>1</v>
      </c>
      <c r="H100" s="137">
        <f>+COUNTIFS(GENERAL!$B:$B,'datos por personal'!H$1,GENERAL!$H:$H,'datos por personal'!$B100)</f>
        <v>0</v>
      </c>
      <c r="J100" s="135">
        <f t="shared" si="1"/>
        <v>2</v>
      </c>
    </row>
    <row r="101" spans="1:10">
      <c r="A101" s="162" t="s">
        <v>1874</v>
      </c>
      <c r="B101" s="163" t="s">
        <v>98</v>
      </c>
      <c r="C101" s="137">
        <f>+COUNTIFS(GENERAL!$B:$B,'datos por personal'!C$1,GENERAL!$H:$H,'datos por personal'!$B101)</f>
        <v>5</v>
      </c>
      <c r="D101" s="137">
        <f>+COUNTIFS(GENERAL!$B:$B,'datos por personal'!D$1,GENERAL!$H:$H,'datos por personal'!$B101)</f>
        <v>2</v>
      </c>
      <c r="E101" s="137">
        <f>+COUNTIFS(GENERAL!$B:$B,'datos por personal'!E$1,GENERAL!$H:$H,'datos por personal'!$B101)</f>
        <v>0</v>
      </c>
      <c r="F101" s="137">
        <f>+COUNTIFS(GENERAL!$B:$B,'datos por personal'!F$1,GENERAL!$H:$H,'datos por personal'!$B101)</f>
        <v>3</v>
      </c>
      <c r="G101" s="137">
        <f>+COUNTIFS(GENERAL!$B:$B,'datos por personal'!G$1,GENERAL!$H:$H,'datos por personal'!$B101)</f>
        <v>1</v>
      </c>
      <c r="H101" s="137">
        <f>+COUNTIFS(GENERAL!$B:$B,'datos por personal'!H$1,GENERAL!$H:$H,'datos por personal'!$B101)</f>
        <v>0</v>
      </c>
      <c r="J101" s="135">
        <f t="shared" si="1"/>
        <v>11</v>
      </c>
    </row>
    <row r="102" spans="1:10">
      <c r="A102" s="162" t="s">
        <v>1874</v>
      </c>
      <c r="B102" s="163" t="s">
        <v>103</v>
      </c>
      <c r="C102" s="137">
        <f>+COUNTIFS(GENERAL!$B:$B,'datos por personal'!C$1,GENERAL!$H:$H,'datos por personal'!$B102)</f>
        <v>1</v>
      </c>
      <c r="D102" s="137">
        <f>+COUNTIFS(GENERAL!$B:$B,'datos por personal'!D$1,GENERAL!$H:$H,'datos por personal'!$B102)</f>
        <v>0</v>
      </c>
      <c r="E102" s="137">
        <f>+COUNTIFS(GENERAL!$B:$B,'datos por personal'!E$1,GENERAL!$H:$H,'datos por personal'!$B102)</f>
        <v>0</v>
      </c>
      <c r="F102" s="137">
        <f>+COUNTIFS(GENERAL!$B:$B,'datos por personal'!F$1,GENERAL!$H:$H,'datos por personal'!$B102)</f>
        <v>0</v>
      </c>
      <c r="G102" s="137">
        <f>+COUNTIFS(GENERAL!$B:$B,'datos por personal'!G$1,GENERAL!$H:$H,'datos por personal'!$B102)</f>
        <v>0</v>
      </c>
      <c r="H102" s="137">
        <f>+COUNTIFS(GENERAL!$B:$B,'datos por personal'!H$1,GENERAL!$H:$H,'datos por personal'!$B102)</f>
        <v>1</v>
      </c>
      <c r="J102" s="135">
        <f t="shared" si="1"/>
        <v>2</v>
      </c>
    </row>
    <row r="103" spans="1:10">
      <c r="A103" s="162" t="s">
        <v>1874</v>
      </c>
      <c r="B103" s="163" t="s">
        <v>111</v>
      </c>
      <c r="C103" s="137">
        <f>+COUNTIFS(GENERAL!$B:$B,'datos por personal'!C$1,GENERAL!$H:$H,'datos por personal'!$B103)</f>
        <v>2</v>
      </c>
      <c r="D103" s="137">
        <f>+COUNTIFS(GENERAL!$B:$B,'datos por personal'!D$1,GENERAL!$H:$H,'datos por personal'!$B103)</f>
        <v>0</v>
      </c>
      <c r="E103" s="137">
        <f>+COUNTIFS(GENERAL!$B:$B,'datos por personal'!E$1,GENERAL!$H:$H,'datos por personal'!$B103)</f>
        <v>0</v>
      </c>
      <c r="F103" s="137">
        <f>+COUNTIFS(GENERAL!$B:$B,'datos por personal'!F$1,GENERAL!$H:$H,'datos por personal'!$B103)</f>
        <v>0</v>
      </c>
      <c r="G103" s="137">
        <f>+COUNTIFS(GENERAL!$B:$B,'datos por personal'!G$1,GENERAL!$H:$H,'datos por personal'!$B103)</f>
        <v>0</v>
      </c>
      <c r="H103" s="137">
        <f>+COUNTIFS(GENERAL!$B:$B,'datos por personal'!H$1,GENERAL!$H:$H,'datos por personal'!$B103)</f>
        <v>0</v>
      </c>
      <c r="J103" s="135">
        <f t="shared" si="1"/>
        <v>2</v>
      </c>
    </row>
    <row r="104" spans="1:10">
      <c r="A104" s="162" t="s">
        <v>1874</v>
      </c>
      <c r="B104" s="163" t="s">
        <v>119</v>
      </c>
      <c r="C104" s="137">
        <f>+COUNTIFS(GENERAL!$B:$B,'datos por personal'!C$1,GENERAL!$H:$H,'datos por personal'!$B104)</f>
        <v>1</v>
      </c>
      <c r="D104" s="137">
        <f>+COUNTIFS(GENERAL!$B:$B,'datos por personal'!D$1,GENERAL!$H:$H,'datos por personal'!$B104)</f>
        <v>0</v>
      </c>
      <c r="E104" s="137">
        <f>+COUNTIFS(GENERAL!$B:$B,'datos por personal'!E$1,GENERAL!$H:$H,'datos por personal'!$B104)</f>
        <v>0</v>
      </c>
      <c r="F104" s="137">
        <f>+COUNTIFS(GENERAL!$B:$B,'datos por personal'!F$1,GENERAL!$H:$H,'datos por personal'!$B104)</f>
        <v>1</v>
      </c>
      <c r="G104" s="137">
        <f>+COUNTIFS(GENERAL!$B:$B,'datos por personal'!G$1,GENERAL!$H:$H,'datos por personal'!$B104)</f>
        <v>0</v>
      </c>
      <c r="H104" s="137">
        <f>+COUNTIFS(GENERAL!$B:$B,'datos por personal'!H$1,GENERAL!$H:$H,'datos por personal'!$B104)</f>
        <v>0</v>
      </c>
      <c r="J104" s="135">
        <f t="shared" si="1"/>
        <v>2</v>
      </c>
    </row>
    <row r="105" spans="1:10">
      <c r="A105" s="162" t="s">
        <v>1874</v>
      </c>
      <c r="B105" s="163" t="s">
        <v>123</v>
      </c>
      <c r="C105" s="137">
        <f>+COUNTIFS(GENERAL!$B:$B,'datos por personal'!C$1,GENERAL!$H:$H,'datos por personal'!$B105)</f>
        <v>1</v>
      </c>
      <c r="D105" s="137">
        <f>+COUNTIFS(GENERAL!$B:$B,'datos por personal'!D$1,GENERAL!$H:$H,'datos por personal'!$B105)</f>
        <v>0</v>
      </c>
      <c r="E105" s="137">
        <f>+COUNTIFS(GENERAL!$B:$B,'datos por personal'!E$1,GENERAL!$H:$H,'datos por personal'!$B105)</f>
        <v>0</v>
      </c>
      <c r="F105" s="137">
        <f>+COUNTIFS(GENERAL!$B:$B,'datos por personal'!F$1,GENERAL!$H:$H,'datos por personal'!$B105)</f>
        <v>0</v>
      </c>
      <c r="G105" s="137">
        <f>+COUNTIFS(GENERAL!$B:$B,'datos por personal'!G$1,GENERAL!$H:$H,'datos por personal'!$B105)</f>
        <v>1</v>
      </c>
      <c r="H105" s="137">
        <f>+COUNTIFS(GENERAL!$B:$B,'datos por personal'!H$1,GENERAL!$H:$H,'datos por personal'!$B105)</f>
        <v>0</v>
      </c>
      <c r="J105" s="135">
        <f t="shared" si="1"/>
        <v>2</v>
      </c>
    </row>
    <row r="106" spans="1:10">
      <c r="A106" s="162" t="s">
        <v>1874</v>
      </c>
      <c r="B106" s="163" t="s">
        <v>130</v>
      </c>
      <c r="C106" s="137">
        <f>+COUNTIFS(GENERAL!$B:$B,'datos por personal'!C$1,GENERAL!$H:$H,'datos por personal'!$B106)</f>
        <v>1</v>
      </c>
      <c r="D106" s="137">
        <f>+COUNTIFS(GENERAL!$B:$B,'datos por personal'!D$1,GENERAL!$H:$H,'datos por personal'!$B106)</f>
        <v>0</v>
      </c>
      <c r="E106" s="137">
        <f>+COUNTIFS(GENERAL!$B:$B,'datos por personal'!E$1,GENERAL!$H:$H,'datos por personal'!$B106)</f>
        <v>1</v>
      </c>
      <c r="F106" s="137">
        <f>+COUNTIFS(GENERAL!$B:$B,'datos por personal'!F$1,GENERAL!$H:$H,'datos por personal'!$B106)</f>
        <v>0</v>
      </c>
      <c r="G106" s="137">
        <f>+COUNTIFS(GENERAL!$B:$B,'datos por personal'!G$1,GENERAL!$H:$H,'datos por personal'!$B106)</f>
        <v>0</v>
      </c>
      <c r="H106" s="137">
        <f>+COUNTIFS(GENERAL!$B:$B,'datos por personal'!H$1,GENERAL!$H:$H,'datos por personal'!$B106)</f>
        <v>0</v>
      </c>
      <c r="J106" s="135">
        <f t="shared" si="1"/>
        <v>2</v>
      </c>
    </row>
    <row r="107" spans="1:10">
      <c r="A107" s="162" t="s">
        <v>1874</v>
      </c>
      <c r="B107" s="163" t="s">
        <v>133</v>
      </c>
      <c r="C107" s="137">
        <f>+COUNTIFS(GENERAL!$B:$B,'datos por personal'!C$1,GENERAL!$H:$H,'datos por personal'!$B107)</f>
        <v>1</v>
      </c>
      <c r="D107" s="137">
        <f>+COUNTIFS(GENERAL!$B:$B,'datos por personal'!D$1,GENERAL!$H:$H,'datos por personal'!$B107)</f>
        <v>0</v>
      </c>
      <c r="E107" s="137">
        <f>+COUNTIFS(GENERAL!$B:$B,'datos por personal'!E$1,GENERAL!$H:$H,'datos por personal'!$B107)</f>
        <v>1</v>
      </c>
      <c r="F107" s="137">
        <f>+COUNTIFS(GENERAL!$B:$B,'datos por personal'!F$1,GENERAL!$H:$H,'datos por personal'!$B107)</f>
        <v>0</v>
      </c>
      <c r="G107" s="137">
        <f>+COUNTIFS(GENERAL!$B:$B,'datos por personal'!G$1,GENERAL!$H:$H,'datos por personal'!$B107)</f>
        <v>0</v>
      </c>
      <c r="H107" s="137">
        <f>+COUNTIFS(GENERAL!$B:$B,'datos por personal'!H$1,GENERAL!$H:$H,'datos por personal'!$B107)</f>
        <v>0</v>
      </c>
      <c r="J107" s="135">
        <f t="shared" si="1"/>
        <v>2</v>
      </c>
    </row>
    <row r="108" spans="1:10">
      <c r="A108" s="162" t="s">
        <v>1874</v>
      </c>
      <c r="B108" s="163" t="s">
        <v>140</v>
      </c>
      <c r="C108" s="137">
        <f>+COUNTIFS(GENERAL!$B:$B,'datos por personal'!C$1,GENERAL!$H:$H,'datos por personal'!$B108)</f>
        <v>1</v>
      </c>
      <c r="D108" s="137">
        <f>+COUNTIFS(GENERAL!$B:$B,'datos por personal'!D$1,GENERAL!$H:$H,'datos por personal'!$B108)</f>
        <v>1</v>
      </c>
      <c r="E108" s="137">
        <f>+COUNTIFS(GENERAL!$B:$B,'datos por personal'!E$1,GENERAL!$H:$H,'datos por personal'!$B108)</f>
        <v>1</v>
      </c>
      <c r="F108" s="137">
        <f>+COUNTIFS(GENERAL!$B:$B,'datos por personal'!F$1,GENERAL!$H:$H,'datos por personal'!$B108)</f>
        <v>1</v>
      </c>
      <c r="G108" s="137">
        <f>+COUNTIFS(GENERAL!$B:$B,'datos por personal'!G$1,GENERAL!$H:$H,'datos por personal'!$B108)</f>
        <v>2</v>
      </c>
      <c r="H108" s="137">
        <f>+COUNTIFS(GENERAL!$B:$B,'datos por personal'!H$1,GENERAL!$H:$H,'datos por personal'!$B108)</f>
        <v>3</v>
      </c>
      <c r="J108" s="135">
        <f t="shared" si="1"/>
        <v>9</v>
      </c>
    </row>
    <row r="109" spans="1:10">
      <c r="A109" s="162" t="s">
        <v>1874</v>
      </c>
      <c r="B109" s="163" t="s">
        <v>145</v>
      </c>
      <c r="C109" s="137">
        <f>+COUNTIFS(GENERAL!$B:$B,'datos por personal'!C$1,GENERAL!$H:$H,'datos por personal'!$B109)</f>
        <v>3</v>
      </c>
      <c r="D109" s="137">
        <f>+COUNTIFS(GENERAL!$B:$B,'datos por personal'!D$1,GENERAL!$H:$H,'datos por personal'!$B109)</f>
        <v>0</v>
      </c>
      <c r="E109" s="137">
        <f>+COUNTIFS(GENERAL!$B:$B,'datos por personal'!E$1,GENERAL!$H:$H,'datos por personal'!$B109)</f>
        <v>1</v>
      </c>
      <c r="F109" s="137">
        <f>+COUNTIFS(GENERAL!$B:$B,'datos por personal'!F$1,GENERAL!$H:$H,'datos por personal'!$B109)</f>
        <v>0</v>
      </c>
      <c r="G109" s="137">
        <f>+COUNTIFS(GENERAL!$B:$B,'datos por personal'!G$1,GENERAL!$H:$H,'datos por personal'!$B109)</f>
        <v>1</v>
      </c>
      <c r="H109" s="137">
        <f>+COUNTIFS(GENERAL!$B:$B,'datos por personal'!H$1,GENERAL!$H:$H,'datos por personal'!$B109)</f>
        <v>0</v>
      </c>
      <c r="J109" s="135">
        <f t="shared" si="1"/>
        <v>5</v>
      </c>
    </row>
    <row r="110" spans="1:10">
      <c r="A110" s="162" t="s">
        <v>1874</v>
      </c>
      <c r="B110" s="163" t="s">
        <v>151</v>
      </c>
      <c r="C110" s="137">
        <f>+COUNTIFS(GENERAL!$B:$B,'datos por personal'!C$1,GENERAL!$H:$H,'datos por personal'!$B110)</f>
        <v>1</v>
      </c>
      <c r="D110" s="137">
        <f>+COUNTIFS(GENERAL!$B:$B,'datos por personal'!D$1,GENERAL!$H:$H,'datos por personal'!$B110)</f>
        <v>1</v>
      </c>
      <c r="E110" s="137">
        <f>+COUNTIFS(GENERAL!$B:$B,'datos por personal'!E$1,GENERAL!$H:$H,'datos por personal'!$B110)</f>
        <v>0</v>
      </c>
      <c r="F110" s="137">
        <f>+COUNTIFS(GENERAL!$B:$B,'datos por personal'!F$1,GENERAL!$H:$H,'datos por personal'!$B110)</f>
        <v>0</v>
      </c>
      <c r="G110" s="137">
        <f>+COUNTIFS(GENERAL!$B:$B,'datos por personal'!G$1,GENERAL!$H:$H,'datos por personal'!$B110)</f>
        <v>0</v>
      </c>
      <c r="H110" s="137">
        <f>+COUNTIFS(GENERAL!$B:$B,'datos por personal'!H$1,GENERAL!$H:$H,'datos por personal'!$B110)</f>
        <v>0</v>
      </c>
      <c r="J110" s="135">
        <f t="shared" si="1"/>
        <v>2</v>
      </c>
    </row>
    <row r="111" spans="1:10">
      <c r="A111" s="162" t="s">
        <v>1874</v>
      </c>
      <c r="B111" s="163" t="s">
        <v>154</v>
      </c>
      <c r="C111" s="137">
        <f>+COUNTIFS(GENERAL!$B:$B,'datos por personal'!C$1,GENERAL!$H:$H,'datos por personal'!$B111)</f>
        <v>3</v>
      </c>
      <c r="D111" s="137">
        <f>+COUNTIFS(GENERAL!$B:$B,'datos por personal'!D$1,GENERAL!$H:$H,'datos por personal'!$B111)</f>
        <v>0</v>
      </c>
      <c r="E111" s="137">
        <f>+COUNTIFS(GENERAL!$B:$B,'datos por personal'!E$1,GENERAL!$H:$H,'datos por personal'!$B111)</f>
        <v>1</v>
      </c>
      <c r="F111" s="137">
        <f>+COUNTIFS(GENERAL!$B:$B,'datos por personal'!F$1,GENERAL!$H:$H,'datos por personal'!$B111)</f>
        <v>2</v>
      </c>
      <c r="G111" s="137">
        <f>+COUNTIFS(GENERAL!$B:$B,'datos por personal'!G$1,GENERAL!$H:$H,'datos por personal'!$B111)</f>
        <v>0</v>
      </c>
      <c r="H111" s="137">
        <f>+COUNTIFS(GENERAL!$B:$B,'datos por personal'!H$1,GENERAL!$H:$H,'datos por personal'!$B111)</f>
        <v>1</v>
      </c>
      <c r="J111" s="135">
        <f t="shared" si="1"/>
        <v>7</v>
      </c>
    </row>
    <row r="112" spans="1:10">
      <c r="A112" s="162" t="s">
        <v>1874</v>
      </c>
      <c r="B112" s="164" t="s">
        <v>161</v>
      </c>
      <c r="C112" s="137">
        <f>+COUNTIFS(GENERAL!$B:$B,'datos por personal'!C$1,GENERAL!$H:$H,'datos por personal'!$B112)</f>
        <v>1</v>
      </c>
      <c r="D112" s="137">
        <f>+COUNTIFS(GENERAL!$B:$B,'datos por personal'!D$1,GENERAL!$H:$H,'datos por personal'!$B112)</f>
        <v>0</v>
      </c>
      <c r="E112" s="137">
        <f>+COUNTIFS(GENERAL!$B:$B,'datos por personal'!E$1,GENERAL!$H:$H,'datos por personal'!$B112)</f>
        <v>0</v>
      </c>
      <c r="F112" s="137">
        <f>+COUNTIFS(GENERAL!$B:$B,'datos por personal'!F$1,GENERAL!$H:$H,'datos por personal'!$B112)</f>
        <v>0</v>
      </c>
      <c r="G112" s="137">
        <f>+COUNTIFS(GENERAL!$B:$B,'datos por personal'!G$1,GENERAL!$H:$H,'datos por personal'!$B112)</f>
        <v>0</v>
      </c>
      <c r="H112" s="137">
        <f>+COUNTIFS(GENERAL!$B:$B,'datos por personal'!H$1,GENERAL!$H:$H,'datos por personal'!$B112)</f>
        <v>0</v>
      </c>
      <c r="J112" s="135">
        <f t="shared" si="1"/>
        <v>1</v>
      </c>
    </row>
    <row r="113" spans="1:10">
      <c r="A113" s="162" t="s">
        <v>1874</v>
      </c>
      <c r="B113" s="163" t="s">
        <v>169</v>
      </c>
      <c r="C113" s="137">
        <f>+COUNTIFS(GENERAL!$B:$B,'datos por personal'!C$1,GENERAL!$H:$H,'datos por personal'!$B113)</f>
        <v>2</v>
      </c>
      <c r="D113" s="137">
        <f>+COUNTIFS(GENERAL!$B:$B,'datos por personal'!D$1,GENERAL!$H:$H,'datos por personal'!$B113)</f>
        <v>0</v>
      </c>
      <c r="E113" s="137">
        <f>+COUNTIFS(GENERAL!$B:$B,'datos por personal'!E$1,GENERAL!$H:$H,'datos por personal'!$B113)</f>
        <v>0</v>
      </c>
      <c r="F113" s="137">
        <f>+COUNTIFS(GENERAL!$B:$B,'datos por personal'!F$1,GENERAL!$H:$H,'datos por personal'!$B113)</f>
        <v>0</v>
      </c>
      <c r="G113" s="137">
        <f>+COUNTIFS(GENERAL!$B:$B,'datos por personal'!G$1,GENERAL!$H:$H,'datos por personal'!$B113)</f>
        <v>0</v>
      </c>
      <c r="H113" s="137">
        <f>+COUNTIFS(GENERAL!$B:$B,'datos por personal'!H$1,GENERAL!$H:$H,'datos por personal'!$B113)</f>
        <v>0</v>
      </c>
      <c r="J113" s="135">
        <f t="shared" si="1"/>
        <v>2</v>
      </c>
    </row>
    <row r="114" spans="1:10">
      <c r="A114" s="162" t="s">
        <v>1874</v>
      </c>
      <c r="B114" s="163" t="s">
        <v>180</v>
      </c>
      <c r="C114" s="137">
        <f>+COUNTIFS(GENERAL!$B:$B,'datos por personal'!C$1,GENERAL!$H:$H,'datos por personal'!$B114)</f>
        <v>1</v>
      </c>
      <c r="D114" s="137">
        <f>+COUNTIFS(GENERAL!$B:$B,'datos por personal'!D$1,GENERAL!$H:$H,'datos por personal'!$B114)</f>
        <v>0</v>
      </c>
      <c r="E114" s="137">
        <f>+COUNTIFS(GENERAL!$B:$B,'datos por personal'!E$1,GENERAL!$H:$H,'datos por personal'!$B114)</f>
        <v>1</v>
      </c>
      <c r="F114" s="137">
        <f>+COUNTIFS(GENERAL!$B:$B,'datos por personal'!F$1,GENERAL!$H:$H,'datos por personal'!$B114)</f>
        <v>0</v>
      </c>
      <c r="G114" s="137">
        <f>+COUNTIFS(GENERAL!$B:$B,'datos por personal'!G$1,GENERAL!$H:$H,'datos por personal'!$B114)</f>
        <v>1</v>
      </c>
      <c r="H114" s="137">
        <f>+COUNTIFS(GENERAL!$B:$B,'datos por personal'!H$1,GENERAL!$H:$H,'datos por personal'!$B114)</f>
        <v>0</v>
      </c>
      <c r="J114" s="135">
        <f t="shared" si="1"/>
        <v>3</v>
      </c>
    </row>
    <row r="115" spans="1:10">
      <c r="A115" s="162" t="s">
        <v>1874</v>
      </c>
      <c r="B115" s="163" t="s">
        <v>185</v>
      </c>
      <c r="C115" s="137">
        <f>+COUNTIFS(GENERAL!$B:$B,'datos por personal'!C$1,GENERAL!$H:$H,'datos por personal'!$B115)</f>
        <v>3</v>
      </c>
      <c r="D115" s="137">
        <f>+COUNTIFS(GENERAL!$B:$B,'datos por personal'!D$1,GENERAL!$H:$H,'datos por personal'!$B115)</f>
        <v>4</v>
      </c>
      <c r="E115" s="137">
        <f>+COUNTIFS(GENERAL!$B:$B,'datos por personal'!E$1,GENERAL!$H:$H,'datos por personal'!$B115)</f>
        <v>0</v>
      </c>
      <c r="F115" s="137">
        <f>+COUNTIFS(GENERAL!$B:$B,'datos por personal'!F$1,GENERAL!$H:$H,'datos por personal'!$B115)</f>
        <v>2</v>
      </c>
      <c r="G115" s="137">
        <f>+COUNTIFS(GENERAL!$B:$B,'datos por personal'!G$1,GENERAL!$H:$H,'datos por personal'!$B115)</f>
        <v>1</v>
      </c>
      <c r="H115" s="137">
        <f>+COUNTIFS(GENERAL!$B:$B,'datos por personal'!H$1,GENERAL!$H:$H,'datos por personal'!$B115)</f>
        <v>0</v>
      </c>
      <c r="J115" s="135">
        <f t="shared" si="1"/>
        <v>10</v>
      </c>
    </row>
    <row r="116" spans="1:10">
      <c r="A116" s="162" t="s">
        <v>1874</v>
      </c>
      <c r="B116" s="163" t="s">
        <v>188</v>
      </c>
      <c r="C116" s="137">
        <f>+COUNTIFS(GENERAL!$B:$B,'datos por personal'!C$1,GENERAL!$H:$H,'datos por personal'!$B116)</f>
        <v>3</v>
      </c>
      <c r="D116" s="137">
        <f>+COUNTIFS(GENERAL!$B:$B,'datos por personal'!D$1,GENERAL!$H:$H,'datos por personal'!$B116)</f>
        <v>2</v>
      </c>
      <c r="E116" s="137">
        <f>+COUNTIFS(GENERAL!$B:$B,'datos por personal'!E$1,GENERAL!$H:$H,'datos por personal'!$B116)</f>
        <v>1</v>
      </c>
      <c r="F116" s="137">
        <f>+COUNTIFS(GENERAL!$B:$B,'datos por personal'!F$1,GENERAL!$H:$H,'datos por personal'!$B116)</f>
        <v>0</v>
      </c>
      <c r="G116" s="137">
        <f>+COUNTIFS(GENERAL!$B:$B,'datos por personal'!G$1,GENERAL!$H:$H,'datos por personal'!$B116)</f>
        <v>0</v>
      </c>
      <c r="H116" s="137">
        <f>+COUNTIFS(GENERAL!$B:$B,'datos por personal'!H$1,GENERAL!$H:$H,'datos por personal'!$B116)</f>
        <v>0</v>
      </c>
      <c r="J116" s="135">
        <f t="shared" si="1"/>
        <v>6</v>
      </c>
    </row>
    <row r="117" spans="1:10">
      <c r="A117" s="162" t="s">
        <v>1874</v>
      </c>
      <c r="B117" s="163" t="s">
        <v>200</v>
      </c>
      <c r="C117" s="137">
        <f>+COUNTIFS(GENERAL!$B:$B,'datos por personal'!C$1,GENERAL!$H:$H,'datos por personal'!$B117)</f>
        <v>2</v>
      </c>
      <c r="D117" s="137">
        <f>+COUNTIFS(GENERAL!$B:$B,'datos por personal'!D$1,GENERAL!$H:$H,'datos por personal'!$B117)</f>
        <v>0</v>
      </c>
      <c r="E117" s="137">
        <f>+COUNTIFS(GENERAL!$B:$B,'datos por personal'!E$1,GENERAL!$H:$H,'datos por personal'!$B117)</f>
        <v>0</v>
      </c>
      <c r="F117" s="137">
        <f>+COUNTIFS(GENERAL!$B:$B,'datos por personal'!F$1,GENERAL!$H:$H,'datos por personal'!$B117)</f>
        <v>0</v>
      </c>
      <c r="G117" s="137">
        <f>+COUNTIFS(GENERAL!$B:$B,'datos por personal'!G$1,GENERAL!$H:$H,'datos por personal'!$B117)</f>
        <v>0</v>
      </c>
      <c r="H117" s="137">
        <f>+COUNTIFS(GENERAL!$B:$B,'datos por personal'!H$1,GENERAL!$H:$H,'datos por personal'!$B117)</f>
        <v>0</v>
      </c>
      <c r="J117" s="135">
        <f t="shared" si="1"/>
        <v>2</v>
      </c>
    </row>
    <row r="118" spans="1:10">
      <c r="A118" s="162" t="s">
        <v>1874</v>
      </c>
      <c r="B118" s="163" t="s">
        <v>204</v>
      </c>
      <c r="C118" s="137">
        <f>+COUNTIFS(GENERAL!$B:$B,'datos por personal'!C$1,GENERAL!$H:$H,'datos por personal'!$B118)</f>
        <v>3</v>
      </c>
      <c r="D118" s="137">
        <f>+COUNTIFS(GENERAL!$B:$B,'datos por personal'!D$1,GENERAL!$H:$H,'datos por personal'!$B118)</f>
        <v>0</v>
      </c>
      <c r="E118" s="137">
        <f>+COUNTIFS(GENERAL!$B:$B,'datos por personal'!E$1,GENERAL!$H:$H,'datos por personal'!$B118)</f>
        <v>2</v>
      </c>
      <c r="F118" s="137">
        <f>+COUNTIFS(GENERAL!$B:$B,'datos por personal'!F$1,GENERAL!$H:$H,'datos por personal'!$B118)</f>
        <v>2</v>
      </c>
      <c r="G118" s="137">
        <f>+COUNTIFS(GENERAL!$B:$B,'datos por personal'!G$1,GENERAL!$H:$H,'datos por personal'!$B118)</f>
        <v>0</v>
      </c>
      <c r="H118" s="137">
        <f>+COUNTIFS(GENERAL!$B:$B,'datos por personal'!H$1,GENERAL!$H:$H,'datos por personal'!$B118)</f>
        <v>0</v>
      </c>
      <c r="J118" s="135">
        <f t="shared" si="1"/>
        <v>7</v>
      </c>
    </row>
    <row r="119" spans="1:10">
      <c r="A119" s="162" t="s">
        <v>1874</v>
      </c>
      <c r="B119" s="163" t="s">
        <v>213</v>
      </c>
      <c r="C119" s="137">
        <f>+COUNTIFS(GENERAL!$B:$B,'datos por personal'!C$1,GENERAL!$H:$H,'datos por personal'!$B119)</f>
        <v>3</v>
      </c>
      <c r="D119" s="137">
        <f>+COUNTIFS(GENERAL!$B:$B,'datos por personal'!D$1,GENERAL!$H:$H,'datos por personal'!$B119)</f>
        <v>0</v>
      </c>
      <c r="E119" s="137">
        <f>+COUNTIFS(GENERAL!$B:$B,'datos por personal'!E$1,GENERAL!$H:$H,'datos por personal'!$B119)</f>
        <v>1</v>
      </c>
      <c r="F119" s="137">
        <f>+COUNTIFS(GENERAL!$B:$B,'datos por personal'!F$1,GENERAL!$H:$H,'datos por personal'!$B119)</f>
        <v>0</v>
      </c>
      <c r="G119" s="137">
        <f>+COUNTIFS(GENERAL!$B:$B,'datos por personal'!G$1,GENERAL!$H:$H,'datos por personal'!$B119)</f>
        <v>0</v>
      </c>
      <c r="H119" s="137">
        <f>+COUNTIFS(GENERAL!$B:$B,'datos por personal'!H$1,GENERAL!$H:$H,'datos por personal'!$B119)</f>
        <v>2</v>
      </c>
      <c r="J119" s="135">
        <f t="shared" si="1"/>
        <v>6</v>
      </c>
    </row>
    <row r="120" spans="1:10">
      <c r="A120" s="162" t="s">
        <v>1874</v>
      </c>
      <c r="B120" s="163" t="s">
        <v>218</v>
      </c>
      <c r="C120" s="137">
        <f>+COUNTIFS(GENERAL!$B:$B,'datos por personal'!C$1,GENERAL!$H:$H,'datos por personal'!$B120)</f>
        <v>3</v>
      </c>
      <c r="D120" s="137">
        <f>+COUNTIFS(GENERAL!$B:$B,'datos por personal'!D$1,GENERAL!$H:$H,'datos por personal'!$B120)</f>
        <v>0</v>
      </c>
      <c r="E120" s="137">
        <f>+COUNTIFS(GENERAL!$B:$B,'datos por personal'!E$1,GENERAL!$H:$H,'datos por personal'!$B120)</f>
        <v>0</v>
      </c>
      <c r="F120" s="137">
        <f>+COUNTIFS(GENERAL!$B:$B,'datos por personal'!F$1,GENERAL!$H:$H,'datos por personal'!$B120)</f>
        <v>0</v>
      </c>
      <c r="G120" s="137">
        <f>+COUNTIFS(GENERAL!$B:$B,'datos por personal'!G$1,GENERAL!$H:$H,'datos por personal'!$B120)</f>
        <v>0</v>
      </c>
      <c r="H120" s="137">
        <f>+COUNTIFS(GENERAL!$B:$B,'datos por personal'!H$1,GENERAL!$H:$H,'datos por personal'!$B120)</f>
        <v>0</v>
      </c>
      <c r="J120" s="135">
        <f t="shared" si="1"/>
        <v>3</v>
      </c>
    </row>
    <row r="121" spans="1:10">
      <c r="A121" s="162" t="s">
        <v>1874</v>
      </c>
      <c r="B121" s="163" t="s">
        <v>230</v>
      </c>
      <c r="C121" s="137">
        <f>+COUNTIFS(GENERAL!$B:$B,'datos por personal'!C$1,GENERAL!$H:$H,'datos por personal'!$B121)</f>
        <v>2</v>
      </c>
      <c r="D121" s="137">
        <f>+COUNTIFS(GENERAL!$B:$B,'datos por personal'!D$1,GENERAL!$H:$H,'datos por personal'!$B121)</f>
        <v>2</v>
      </c>
      <c r="E121" s="137">
        <f>+COUNTIFS(GENERAL!$B:$B,'datos por personal'!E$1,GENERAL!$H:$H,'datos por personal'!$B121)</f>
        <v>1</v>
      </c>
      <c r="F121" s="137">
        <f>+COUNTIFS(GENERAL!$B:$B,'datos por personal'!F$1,GENERAL!$H:$H,'datos por personal'!$B121)</f>
        <v>0</v>
      </c>
      <c r="G121" s="137">
        <f>+COUNTIFS(GENERAL!$B:$B,'datos por personal'!G$1,GENERAL!$H:$H,'datos por personal'!$B121)</f>
        <v>2</v>
      </c>
      <c r="H121" s="137">
        <f>+COUNTIFS(GENERAL!$B:$B,'datos por personal'!H$1,GENERAL!$H:$H,'datos por personal'!$B121)</f>
        <v>0</v>
      </c>
      <c r="J121" s="135">
        <f t="shared" si="1"/>
        <v>7</v>
      </c>
    </row>
    <row r="122" spans="1:10">
      <c r="A122" s="162" t="s">
        <v>1874</v>
      </c>
      <c r="B122" s="163" t="s">
        <v>238</v>
      </c>
      <c r="C122" s="137">
        <f>+COUNTIFS(GENERAL!$B:$B,'datos por personal'!C$1,GENERAL!$H:$H,'datos por personal'!$B122)</f>
        <v>1</v>
      </c>
      <c r="D122" s="137">
        <f>+COUNTIFS(GENERAL!$B:$B,'datos por personal'!D$1,GENERAL!$H:$H,'datos por personal'!$B122)</f>
        <v>1</v>
      </c>
      <c r="E122" s="137">
        <f>+COUNTIFS(GENERAL!$B:$B,'datos por personal'!E$1,GENERAL!$H:$H,'datos por personal'!$B122)</f>
        <v>0</v>
      </c>
      <c r="F122" s="137">
        <f>+COUNTIFS(GENERAL!$B:$B,'datos por personal'!F$1,GENERAL!$H:$H,'datos por personal'!$B122)</f>
        <v>0</v>
      </c>
      <c r="G122" s="137">
        <f>+COUNTIFS(GENERAL!$B:$B,'datos por personal'!G$1,GENERAL!$H:$H,'datos por personal'!$B122)</f>
        <v>0</v>
      </c>
      <c r="H122" s="137">
        <f>+COUNTIFS(GENERAL!$B:$B,'datos por personal'!H$1,GENERAL!$H:$H,'datos por personal'!$B122)</f>
        <v>0</v>
      </c>
      <c r="J122" s="135">
        <f t="shared" si="1"/>
        <v>2</v>
      </c>
    </row>
    <row r="123" spans="1:10">
      <c r="A123" s="162" t="s">
        <v>1874</v>
      </c>
      <c r="B123" s="163" t="s">
        <v>243</v>
      </c>
      <c r="C123" s="137">
        <f>+COUNTIFS(GENERAL!$B:$B,'datos por personal'!C$1,GENERAL!$H:$H,'datos por personal'!$B123)</f>
        <v>1</v>
      </c>
      <c r="D123" s="137">
        <f>+COUNTIFS(GENERAL!$B:$B,'datos por personal'!D$1,GENERAL!$H:$H,'datos por personal'!$B123)</f>
        <v>0</v>
      </c>
      <c r="E123" s="137">
        <f>+COUNTIFS(GENERAL!$B:$B,'datos por personal'!E$1,GENERAL!$H:$H,'datos por personal'!$B123)</f>
        <v>0</v>
      </c>
      <c r="F123" s="137">
        <f>+COUNTIFS(GENERAL!$B:$B,'datos por personal'!F$1,GENERAL!$H:$H,'datos por personal'!$B123)</f>
        <v>0</v>
      </c>
      <c r="G123" s="137">
        <f>+COUNTIFS(GENERAL!$B:$B,'datos por personal'!G$1,GENERAL!$H:$H,'datos por personal'!$B123)</f>
        <v>0</v>
      </c>
      <c r="H123" s="137">
        <f>+COUNTIFS(GENERAL!$B:$B,'datos por personal'!H$1,GENERAL!$H:$H,'datos por personal'!$B123)</f>
        <v>0</v>
      </c>
      <c r="J123" s="135">
        <f t="shared" si="1"/>
        <v>1</v>
      </c>
    </row>
    <row r="124" spans="1:10">
      <c r="A124" s="162" t="s">
        <v>1874</v>
      </c>
      <c r="B124" s="163" t="s">
        <v>253</v>
      </c>
      <c r="C124" s="137">
        <f>+COUNTIFS(GENERAL!$B:$B,'datos por personal'!C$1,GENERAL!$H:$H,'datos por personal'!$B124)</f>
        <v>1</v>
      </c>
      <c r="D124" s="137">
        <f>+COUNTIFS(GENERAL!$B:$B,'datos por personal'!D$1,GENERAL!$H:$H,'datos por personal'!$B124)</f>
        <v>0</v>
      </c>
      <c r="E124" s="137">
        <f>+COUNTIFS(GENERAL!$B:$B,'datos por personal'!E$1,GENERAL!$H:$H,'datos por personal'!$B124)</f>
        <v>1</v>
      </c>
      <c r="F124" s="137">
        <f>+COUNTIFS(GENERAL!$B:$B,'datos por personal'!F$1,GENERAL!$H:$H,'datos por personal'!$B124)</f>
        <v>1</v>
      </c>
      <c r="G124" s="137">
        <f>+COUNTIFS(GENERAL!$B:$B,'datos por personal'!G$1,GENERAL!$H:$H,'datos por personal'!$B124)</f>
        <v>0</v>
      </c>
      <c r="H124" s="137">
        <f>+COUNTIFS(GENERAL!$B:$B,'datos por personal'!H$1,GENERAL!$H:$H,'datos por personal'!$B124)</f>
        <v>0</v>
      </c>
      <c r="J124" s="135">
        <f t="shared" si="1"/>
        <v>3</v>
      </c>
    </row>
    <row r="125" spans="1:10">
      <c r="A125" s="162" t="s">
        <v>1874</v>
      </c>
      <c r="B125" s="163" t="s">
        <v>259</v>
      </c>
      <c r="C125" s="137">
        <f>+COUNTIFS(GENERAL!$B:$B,'datos por personal'!C$1,GENERAL!$H:$H,'datos por personal'!$B125)</f>
        <v>2</v>
      </c>
      <c r="D125" s="137">
        <f>+COUNTIFS(GENERAL!$B:$B,'datos por personal'!D$1,GENERAL!$H:$H,'datos por personal'!$B125)</f>
        <v>0</v>
      </c>
      <c r="E125" s="137">
        <f>+COUNTIFS(GENERAL!$B:$B,'datos por personal'!E$1,GENERAL!$H:$H,'datos por personal'!$B125)</f>
        <v>3</v>
      </c>
      <c r="F125" s="137">
        <f>+COUNTIFS(GENERAL!$B:$B,'datos por personal'!F$1,GENERAL!$H:$H,'datos por personal'!$B125)</f>
        <v>0</v>
      </c>
      <c r="G125" s="137">
        <f>+COUNTIFS(GENERAL!$B:$B,'datos por personal'!G$1,GENERAL!$H:$H,'datos por personal'!$B125)</f>
        <v>0</v>
      </c>
      <c r="H125" s="137">
        <f>+COUNTIFS(GENERAL!$B:$B,'datos por personal'!H$1,GENERAL!$H:$H,'datos por personal'!$B125)</f>
        <v>1</v>
      </c>
      <c r="J125" s="135">
        <f t="shared" si="1"/>
        <v>6</v>
      </c>
    </row>
    <row r="126" spans="1:10">
      <c r="A126" s="162" t="s">
        <v>1874</v>
      </c>
      <c r="B126" s="163" t="s">
        <v>271</v>
      </c>
      <c r="C126" s="137">
        <f>+COUNTIFS(GENERAL!$B:$B,'datos por personal'!C$1,GENERAL!$H:$H,'datos por personal'!$B126)</f>
        <v>1</v>
      </c>
      <c r="D126" s="137">
        <f>+COUNTIFS(GENERAL!$B:$B,'datos por personal'!D$1,GENERAL!$H:$H,'datos por personal'!$B126)</f>
        <v>0</v>
      </c>
      <c r="E126" s="137">
        <f>+COUNTIFS(GENERAL!$B:$B,'datos por personal'!E$1,GENERAL!$H:$H,'datos por personal'!$B126)</f>
        <v>0</v>
      </c>
      <c r="F126" s="137">
        <f>+COUNTIFS(GENERAL!$B:$B,'datos por personal'!F$1,GENERAL!$H:$H,'datos por personal'!$B126)</f>
        <v>0</v>
      </c>
      <c r="G126" s="137">
        <f>+COUNTIFS(GENERAL!$B:$B,'datos por personal'!G$1,GENERAL!$H:$H,'datos por personal'!$B126)</f>
        <v>0</v>
      </c>
      <c r="H126" s="137">
        <f>+COUNTIFS(GENERAL!$B:$B,'datos por personal'!H$1,GENERAL!$H:$H,'datos por personal'!$B126)</f>
        <v>0</v>
      </c>
      <c r="J126" s="135">
        <f t="shared" si="1"/>
        <v>1</v>
      </c>
    </row>
    <row r="127" spans="1:10">
      <c r="A127" s="162" t="s">
        <v>1874</v>
      </c>
      <c r="B127" s="163" t="s">
        <v>281</v>
      </c>
      <c r="C127" s="137">
        <f>+COUNTIFS(GENERAL!$B:$B,'datos por personal'!C$1,GENERAL!$H:$H,'datos por personal'!$B127)</f>
        <v>3</v>
      </c>
      <c r="D127" s="137">
        <f>+COUNTIFS(GENERAL!$B:$B,'datos por personal'!D$1,GENERAL!$H:$H,'datos por personal'!$B127)</f>
        <v>1</v>
      </c>
      <c r="E127" s="137">
        <f>+COUNTIFS(GENERAL!$B:$B,'datos por personal'!E$1,GENERAL!$H:$H,'datos por personal'!$B127)</f>
        <v>1</v>
      </c>
      <c r="F127" s="137">
        <f>+COUNTIFS(GENERAL!$B:$B,'datos por personal'!F$1,GENERAL!$H:$H,'datos por personal'!$B127)</f>
        <v>0</v>
      </c>
      <c r="G127" s="137">
        <f>+COUNTIFS(GENERAL!$B:$B,'datos por personal'!G$1,GENERAL!$H:$H,'datos por personal'!$B127)</f>
        <v>0</v>
      </c>
      <c r="H127" s="137">
        <f>+COUNTIFS(GENERAL!$B:$B,'datos por personal'!H$1,GENERAL!$H:$H,'datos por personal'!$B127)</f>
        <v>0</v>
      </c>
      <c r="J127" s="135">
        <f t="shared" si="1"/>
        <v>5</v>
      </c>
    </row>
    <row r="128" spans="1:10">
      <c r="A128" s="162" t="s">
        <v>1874</v>
      </c>
      <c r="B128" s="163" t="s">
        <v>285</v>
      </c>
      <c r="C128" s="137">
        <f>+COUNTIFS(GENERAL!$B:$B,'datos por personal'!C$1,GENERAL!$H:$H,'datos por personal'!$B128)</f>
        <v>1</v>
      </c>
      <c r="D128" s="137">
        <f>+COUNTIFS(GENERAL!$B:$B,'datos por personal'!D$1,GENERAL!$H:$H,'datos por personal'!$B128)</f>
        <v>0</v>
      </c>
      <c r="E128" s="137">
        <f>+COUNTIFS(GENERAL!$B:$B,'datos por personal'!E$1,GENERAL!$H:$H,'datos por personal'!$B128)</f>
        <v>0</v>
      </c>
      <c r="F128" s="137">
        <f>+COUNTIFS(GENERAL!$B:$B,'datos por personal'!F$1,GENERAL!$H:$H,'datos por personal'!$B128)</f>
        <v>1</v>
      </c>
      <c r="G128" s="137">
        <f>+COUNTIFS(GENERAL!$B:$B,'datos por personal'!G$1,GENERAL!$H:$H,'datos por personal'!$B128)</f>
        <v>0</v>
      </c>
      <c r="H128" s="137">
        <f>+COUNTIFS(GENERAL!$B:$B,'datos por personal'!H$1,GENERAL!$H:$H,'datos por personal'!$B128)</f>
        <v>0</v>
      </c>
      <c r="J128" s="135">
        <f t="shared" si="1"/>
        <v>2</v>
      </c>
    </row>
    <row r="129" spans="1:10">
      <c r="A129" s="162" t="s">
        <v>1874</v>
      </c>
      <c r="B129" s="163" t="s">
        <v>287</v>
      </c>
      <c r="C129" s="137">
        <f>+COUNTIFS(GENERAL!$B:$B,'datos por personal'!C$1,GENERAL!$H:$H,'datos por personal'!$B129)</f>
        <v>1</v>
      </c>
      <c r="D129" s="137">
        <f>+COUNTIFS(GENERAL!$B:$B,'datos por personal'!D$1,GENERAL!$H:$H,'datos por personal'!$B129)</f>
        <v>0</v>
      </c>
      <c r="E129" s="137">
        <f>+COUNTIFS(GENERAL!$B:$B,'datos por personal'!E$1,GENERAL!$H:$H,'datos por personal'!$B129)</f>
        <v>0</v>
      </c>
      <c r="F129" s="137">
        <f>+COUNTIFS(GENERAL!$B:$B,'datos por personal'!F$1,GENERAL!$H:$H,'datos por personal'!$B129)</f>
        <v>0</v>
      </c>
      <c r="G129" s="137">
        <f>+COUNTIFS(GENERAL!$B:$B,'datos por personal'!G$1,GENERAL!$H:$H,'datos por personal'!$B129)</f>
        <v>0</v>
      </c>
      <c r="H129" s="137">
        <f>+COUNTIFS(GENERAL!$B:$B,'datos por personal'!H$1,GENERAL!$H:$H,'datos por personal'!$B129)</f>
        <v>1</v>
      </c>
      <c r="J129" s="135">
        <f t="shared" si="1"/>
        <v>2</v>
      </c>
    </row>
    <row r="130" spans="1:10">
      <c r="A130" s="162" t="s">
        <v>1874</v>
      </c>
      <c r="B130" s="163" t="s">
        <v>291</v>
      </c>
      <c r="C130" s="137">
        <f>+COUNTIFS(GENERAL!$B:$B,'datos por personal'!C$1,GENERAL!$H:$H,'datos por personal'!$B130)</f>
        <v>1</v>
      </c>
      <c r="D130" s="137">
        <f>+COUNTIFS(GENERAL!$B:$B,'datos por personal'!D$1,GENERAL!$H:$H,'datos por personal'!$B130)</f>
        <v>3</v>
      </c>
      <c r="E130" s="137">
        <f>+COUNTIFS(GENERAL!$B:$B,'datos por personal'!E$1,GENERAL!$H:$H,'datos por personal'!$B130)</f>
        <v>0</v>
      </c>
      <c r="F130" s="137">
        <f>+COUNTIFS(GENERAL!$B:$B,'datos por personal'!F$1,GENERAL!$H:$H,'datos por personal'!$B130)</f>
        <v>0</v>
      </c>
      <c r="G130" s="137">
        <f>+COUNTIFS(GENERAL!$B:$B,'datos por personal'!G$1,GENERAL!$H:$H,'datos por personal'!$B130)</f>
        <v>2</v>
      </c>
      <c r="H130" s="137">
        <f>+COUNTIFS(GENERAL!$B:$B,'datos por personal'!H$1,GENERAL!$H:$H,'datos por personal'!$B130)</f>
        <v>0</v>
      </c>
      <c r="J130" s="135">
        <f t="shared" si="1"/>
        <v>6</v>
      </c>
    </row>
    <row r="131" spans="1:10">
      <c r="A131" s="162" t="s">
        <v>1874</v>
      </c>
      <c r="B131" s="163" t="s">
        <v>295</v>
      </c>
      <c r="C131" s="137">
        <f>+COUNTIFS(GENERAL!$B:$B,'datos por personal'!C$1,GENERAL!$H:$H,'datos por personal'!$B131)</f>
        <v>1</v>
      </c>
      <c r="D131" s="137">
        <f>+COUNTIFS(GENERAL!$B:$B,'datos por personal'!D$1,GENERAL!$H:$H,'datos por personal'!$B131)</f>
        <v>1</v>
      </c>
      <c r="E131" s="137">
        <f>+COUNTIFS(GENERAL!$B:$B,'datos por personal'!E$1,GENERAL!$H:$H,'datos por personal'!$B131)</f>
        <v>0</v>
      </c>
      <c r="F131" s="137">
        <f>+COUNTIFS(GENERAL!$B:$B,'datos por personal'!F$1,GENERAL!$H:$H,'datos por personal'!$B131)</f>
        <v>0</v>
      </c>
      <c r="G131" s="137">
        <f>+COUNTIFS(GENERAL!$B:$B,'datos por personal'!G$1,GENERAL!$H:$H,'datos por personal'!$B131)</f>
        <v>2</v>
      </c>
      <c r="H131" s="137">
        <f>+COUNTIFS(GENERAL!$B:$B,'datos por personal'!H$1,GENERAL!$H:$H,'datos por personal'!$B131)</f>
        <v>1</v>
      </c>
      <c r="J131" s="135">
        <f t="shared" ref="J131:J194" si="2">+SUM(C131:H131)</f>
        <v>5</v>
      </c>
    </row>
    <row r="132" spans="1:10">
      <c r="A132" s="162" t="s">
        <v>1874</v>
      </c>
      <c r="B132" s="163" t="s">
        <v>304</v>
      </c>
      <c r="C132" s="137">
        <f>+COUNTIFS(GENERAL!$B:$B,'datos por personal'!C$1,GENERAL!$H:$H,'datos por personal'!$B132)</f>
        <v>1</v>
      </c>
      <c r="D132" s="137">
        <f>+COUNTIFS(GENERAL!$B:$B,'datos por personal'!D$1,GENERAL!$H:$H,'datos por personal'!$B132)</f>
        <v>0</v>
      </c>
      <c r="E132" s="137">
        <f>+COUNTIFS(GENERAL!$B:$B,'datos por personal'!E$1,GENERAL!$H:$H,'datos por personal'!$B132)</f>
        <v>1</v>
      </c>
      <c r="F132" s="137">
        <f>+COUNTIFS(GENERAL!$B:$B,'datos por personal'!F$1,GENERAL!$H:$H,'datos por personal'!$B132)</f>
        <v>0</v>
      </c>
      <c r="G132" s="137">
        <f>+COUNTIFS(GENERAL!$B:$B,'datos por personal'!G$1,GENERAL!$H:$H,'datos por personal'!$B132)</f>
        <v>0</v>
      </c>
      <c r="H132" s="137">
        <f>+COUNTIFS(GENERAL!$B:$B,'datos por personal'!H$1,GENERAL!$H:$H,'datos por personal'!$B132)</f>
        <v>1</v>
      </c>
      <c r="J132" s="135">
        <f t="shared" si="2"/>
        <v>3</v>
      </c>
    </row>
    <row r="133" spans="1:10">
      <c r="A133" s="162" t="s">
        <v>1874</v>
      </c>
      <c r="B133" s="163" t="s">
        <v>311</v>
      </c>
      <c r="C133" s="137">
        <f>+COUNTIFS(GENERAL!$B:$B,'datos por personal'!C$1,GENERAL!$H:$H,'datos por personal'!$B133)</f>
        <v>1</v>
      </c>
      <c r="D133" s="137">
        <f>+COUNTIFS(GENERAL!$B:$B,'datos por personal'!D$1,GENERAL!$H:$H,'datos por personal'!$B133)</f>
        <v>1</v>
      </c>
      <c r="E133" s="137">
        <f>+COUNTIFS(GENERAL!$B:$B,'datos por personal'!E$1,GENERAL!$H:$H,'datos por personal'!$B133)</f>
        <v>0</v>
      </c>
      <c r="F133" s="137">
        <f>+COUNTIFS(GENERAL!$B:$B,'datos por personal'!F$1,GENERAL!$H:$H,'datos por personal'!$B133)</f>
        <v>0</v>
      </c>
      <c r="G133" s="137">
        <f>+COUNTIFS(GENERAL!$B:$B,'datos por personal'!G$1,GENERAL!$H:$H,'datos por personal'!$B133)</f>
        <v>0</v>
      </c>
      <c r="H133" s="137">
        <f>+COUNTIFS(GENERAL!$B:$B,'datos por personal'!H$1,GENERAL!$H:$H,'datos por personal'!$B133)</f>
        <v>0</v>
      </c>
      <c r="J133" s="135">
        <f t="shared" si="2"/>
        <v>2</v>
      </c>
    </row>
    <row r="134" spans="1:10">
      <c r="A134" s="162" t="s">
        <v>1874</v>
      </c>
      <c r="B134" s="163" t="s">
        <v>316</v>
      </c>
      <c r="C134" s="137">
        <f>+COUNTIFS(GENERAL!$B:$B,'datos por personal'!C$1,GENERAL!$H:$H,'datos por personal'!$B134)</f>
        <v>1</v>
      </c>
      <c r="D134" s="137">
        <f>+COUNTIFS(GENERAL!$B:$B,'datos por personal'!D$1,GENERAL!$H:$H,'datos por personal'!$B134)</f>
        <v>2</v>
      </c>
      <c r="E134" s="137">
        <f>+COUNTIFS(GENERAL!$B:$B,'datos por personal'!E$1,GENERAL!$H:$H,'datos por personal'!$B134)</f>
        <v>2</v>
      </c>
      <c r="F134" s="137">
        <f>+COUNTIFS(GENERAL!$B:$B,'datos por personal'!F$1,GENERAL!$H:$H,'datos por personal'!$B134)</f>
        <v>1</v>
      </c>
      <c r="G134" s="137">
        <f>+COUNTIFS(GENERAL!$B:$B,'datos por personal'!G$1,GENERAL!$H:$H,'datos por personal'!$B134)</f>
        <v>0</v>
      </c>
      <c r="H134" s="137">
        <f>+COUNTIFS(GENERAL!$B:$B,'datos por personal'!H$1,GENERAL!$H:$H,'datos por personal'!$B134)</f>
        <v>0</v>
      </c>
      <c r="J134" s="135">
        <f t="shared" si="2"/>
        <v>6</v>
      </c>
    </row>
    <row r="135" spans="1:10">
      <c r="A135" s="162" t="s">
        <v>1874</v>
      </c>
      <c r="B135" s="165" t="s">
        <v>323</v>
      </c>
      <c r="C135" s="137">
        <f>+COUNTIFS(GENERAL!$B:$B,'datos por personal'!C$1,GENERAL!$H:$H,'datos por personal'!$B135)</f>
        <v>1</v>
      </c>
      <c r="D135" s="137">
        <f>+COUNTIFS(GENERAL!$B:$B,'datos por personal'!D$1,GENERAL!$H:$H,'datos por personal'!$B135)</f>
        <v>3</v>
      </c>
      <c r="E135" s="137">
        <f>+COUNTIFS(GENERAL!$B:$B,'datos por personal'!E$1,GENERAL!$H:$H,'datos por personal'!$B135)</f>
        <v>0</v>
      </c>
      <c r="F135" s="137">
        <f>+COUNTIFS(GENERAL!$B:$B,'datos por personal'!F$1,GENERAL!$H:$H,'datos por personal'!$B135)</f>
        <v>0</v>
      </c>
      <c r="G135" s="137">
        <f>+COUNTIFS(GENERAL!$B:$B,'datos por personal'!G$1,GENERAL!$H:$H,'datos por personal'!$B135)</f>
        <v>0</v>
      </c>
      <c r="H135" s="137">
        <f>+COUNTIFS(GENERAL!$B:$B,'datos por personal'!H$1,GENERAL!$H:$H,'datos por personal'!$B135)</f>
        <v>0</v>
      </c>
      <c r="J135" s="135">
        <f t="shared" si="2"/>
        <v>4</v>
      </c>
    </row>
    <row r="136" spans="1:10">
      <c r="A136" s="162" t="s">
        <v>1874</v>
      </c>
      <c r="B136" s="163" t="s">
        <v>330</v>
      </c>
      <c r="C136" s="137">
        <f>+COUNTIFS(GENERAL!$B:$B,'datos por personal'!C$1,GENERAL!$H:$H,'datos por personal'!$B136)</f>
        <v>1</v>
      </c>
      <c r="D136" s="137">
        <f>+COUNTIFS(GENERAL!$B:$B,'datos por personal'!D$1,GENERAL!$H:$H,'datos por personal'!$B136)</f>
        <v>0</v>
      </c>
      <c r="E136" s="137">
        <f>+COUNTIFS(GENERAL!$B:$B,'datos por personal'!E$1,GENERAL!$H:$H,'datos por personal'!$B136)</f>
        <v>0</v>
      </c>
      <c r="F136" s="137">
        <f>+COUNTIFS(GENERAL!$B:$B,'datos por personal'!F$1,GENERAL!$H:$H,'datos por personal'!$B136)</f>
        <v>0</v>
      </c>
      <c r="G136" s="137">
        <f>+COUNTIFS(GENERAL!$B:$B,'datos por personal'!G$1,GENERAL!$H:$H,'datos por personal'!$B136)</f>
        <v>0</v>
      </c>
      <c r="H136" s="137">
        <f>+COUNTIFS(GENERAL!$B:$B,'datos por personal'!H$1,GENERAL!$H:$H,'datos por personal'!$B136)</f>
        <v>0</v>
      </c>
      <c r="J136" s="135">
        <f t="shared" si="2"/>
        <v>1</v>
      </c>
    </row>
    <row r="137" spans="1:10">
      <c r="A137" s="162" t="s">
        <v>1874</v>
      </c>
      <c r="B137" s="163" t="s">
        <v>334</v>
      </c>
      <c r="C137" s="137">
        <f>+COUNTIFS(GENERAL!$B:$B,'datos por personal'!C$1,GENERAL!$H:$H,'datos por personal'!$B137)</f>
        <v>1</v>
      </c>
      <c r="D137" s="137">
        <f>+COUNTIFS(GENERAL!$B:$B,'datos por personal'!D$1,GENERAL!$H:$H,'datos por personal'!$B137)</f>
        <v>1</v>
      </c>
      <c r="E137" s="137">
        <f>+COUNTIFS(GENERAL!$B:$B,'datos por personal'!E$1,GENERAL!$H:$H,'datos por personal'!$B137)</f>
        <v>2</v>
      </c>
      <c r="F137" s="137">
        <f>+COUNTIFS(GENERAL!$B:$B,'datos por personal'!F$1,GENERAL!$H:$H,'datos por personal'!$B137)</f>
        <v>0</v>
      </c>
      <c r="G137" s="137">
        <f>+COUNTIFS(GENERAL!$B:$B,'datos por personal'!G$1,GENERAL!$H:$H,'datos por personal'!$B137)</f>
        <v>0</v>
      </c>
      <c r="H137" s="137">
        <f>+COUNTIFS(GENERAL!$B:$B,'datos por personal'!H$1,GENERAL!$H:$H,'datos por personal'!$B137)</f>
        <v>0</v>
      </c>
      <c r="J137" s="135">
        <f t="shared" si="2"/>
        <v>4</v>
      </c>
    </row>
    <row r="138" spans="1:10">
      <c r="A138" s="162" t="s">
        <v>1874</v>
      </c>
      <c r="B138" s="163" t="s">
        <v>342</v>
      </c>
      <c r="C138" s="137">
        <f>+COUNTIFS(GENERAL!$B:$B,'datos por personal'!C$1,GENERAL!$H:$H,'datos por personal'!$B138)</f>
        <v>1</v>
      </c>
      <c r="D138" s="137">
        <f>+COUNTIFS(GENERAL!$B:$B,'datos por personal'!D$1,GENERAL!$H:$H,'datos por personal'!$B138)</f>
        <v>0</v>
      </c>
      <c r="E138" s="137">
        <f>+COUNTIFS(GENERAL!$B:$B,'datos por personal'!E$1,GENERAL!$H:$H,'datos por personal'!$B138)</f>
        <v>0</v>
      </c>
      <c r="F138" s="137">
        <f>+COUNTIFS(GENERAL!$B:$B,'datos por personal'!F$1,GENERAL!$H:$H,'datos por personal'!$B138)</f>
        <v>0</v>
      </c>
      <c r="G138" s="137">
        <f>+COUNTIFS(GENERAL!$B:$B,'datos por personal'!G$1,GENERAL!$H:$H,'datos por personal'!$B138)</f>
        <v>0</v>
      </c>
      <c r="H138" s="137">
        <f>+COUNTIFS(GENERAL!$B:$B,'datos por personal'!H$1,GENERAL!$H:$H,'datos por personal'!$B138)</f>
        <v>0</v>
      </c>
      <c r="J138" s="135">
        <f t="shared" si="2"/>
        <v>1</v>
      </c>
    </row>
    <row r="139" spans="1:10">
      <c r="A139" s="162" t="s">
        <v>1874</v>
      </c>
      <c r="B139" s="165" t="s">
        <v>344</v>
      </c>
      <c r="C139" s="137">
        <f>+COUNTIFS(GENERAL!$B:$B,'datos por personal'!C$1,GENERAL!$H:$H,'datos por personal'!$B139)</f>
        <v>1</v>
      </c>
      <c r="D139" s="137">
        <f>+COUNTIFS(GENERAL!$B:$B,'datos por personal'!D$1,GENERAL!$H:$H,'datos por personal'!$B139)</f>
        <v>1</v>
      </c>
      <c r="E139" s="137">
        <f>+COUNTIFS(GENERAL!$B:$B,'datos por personal'!E$1,GENERAL!$H:$H,'datos por personal'!$B139)</f>
        <v>1</v>
      </c>
      <c r="F139" s="137">
        <f>+COUNTIFS(GENERAL!$B:$B,'datos por personal'!F$1,GENERAL!$H:$H,'datos por personal'!$B139)</f>
        <v>1</v>
      </c>
      <c r="G139" s="137">
        <f>+COUNTIFS(GENERAL!$B:$B,'datos por personal'!G$1,GENERAL!$H:$H,'datos por personal'!$B139)</f>
        <v>0</v>
      </c>
      <c r="H139" s="137">
        <f>+COUNTIFS(GENERAL!$B:$B,'datos por personal'!H$1,GENERAL!$H:$H,'datos por personal'!$B139)</f>
        <v>1</v>
      </c>
      <c r="J139" s="135">
        <f t="shared" si="2"/>
        <v>5</v>
      </c>
    </row>
    <row r="140" spans="1:10">
      <c r="A140" s="162" t="s">
        <v>1874</v>
      </c>
      <c r="B140" s="163" t="s">
        <v>351</v>
      </c>
      <c r="C140" s="137">
        <f>+COUNTIFS(GENERAL!$B:$B,'datos por personal'!C$1,GENERAL!$H:$H,'datos por personal'!$B140)</f>
        <v>1</v>
      </c>
      <c r="D140" s="137">
        <f>+COUNTIFS(GENERAL!$B:$B,'datos por personal'!D$1,GENERAL!$H:$H,'datos por personal'!$B140)</f>
        <v>1</v>
      </c>
      <c r="E140" s="137">
        <f>+COUNTIFS(GENERAL!$B:$B,'datos por personal'!E$1,GENERAL!$H:$H,'datos por personal'!$B140)</f>
        <v>0</v>
      </c>
      <c r="F140" s="137">
        <f>+COUNTIFS(GENERAL!$B:$B,'datos por personal'!F$1,GENERAL!$H:$H,'datos por personal'!$B140)</f>
        <v>0</v>
      </c>
      <c r="G140" s="137">
        <f>+COUNTIFS(GENERAL!$B:$B,'datos por personal'!G$1,GENERAL!$H:$H,'datos por personal'!$B140)</f>
        <v>0</v>
      </c>
      <c r="H140" s="137">
        <f>+COUNTIFS(GENERAL!$B:$B,'datos por personal'!H$1,GENERAL!$H:$H,'datos por personal'!$B140)</f>
        <v>0</v>
      </c>
      <c r="J140" s="135">
        <f t="shared" si="2"/>
        <v>2</v>
      </c>
    </row>
    <row r="141" spans="1:10">
      <c r="A141" s="162" t="s">
        <v>1874</v>
      </c>
      <c r="B141" s="163" t="s">
        <v>356</v>
      </c>
      <c r="C141" s="137">
        <f>+COUNTIFS(GENERAL!$B:$B,'datos por personal'!C$1,GENERAL!$H:$H,'datos por personal'!$B141)</f>
        <v>1</v>
      </c>
      <c r="D141" s="137">
        <f>+COUNTIFS(GENERAL!$B:$B,'datos por personal'!D$1,GENERAL!$H:$H,'datos por personal'!$B141)</f>
        <v>2</v>
      </c>
      <c r="E141" s="137">
        <f>+COUNTIFS(GENERAL!$B:$B,'datos por personal'!E$1,GENERAL!$H:$H,'datos por personal'!$B141)</f>
        <v>0</v>
      </c>
      <c r="F141" s="137">
        <f>+COUNTIFS(GENERAL!$B:$B,'datos por personal'!F$1,GENERAL!$H:$H,'datos por personal'!$B141)</f>
        <v>0</v>
      </c>
      <c r="G141" s="137">
        <f>+COUNTIFS(GENERAL!$B:$B,'datos por personal'!G$1,GENERAL!$H:$H,'datos por personal'!$B141)</f>
        <v>2</v>
      </c>
      <c r="H141" s="137">
        <f>+COUNTIFS(GENERAL!$B:$B,'datos por personal'!H$1,GENERAL!$H:$H,'datos por personal'!$B141)</f>
        <v>0</v>
      </c>
      <c r="J141" s="135">
        <f t="shared" si="2"/>
        <v>5</v>
      </c>
    </row>
    <row r="142" spans="1:10">
      <c r="A142" s="162" t="s">
        <v>1874</v>
      </c>
      <c r="B142" s="163" t="s">
        <v>360</v>
      </c>
      <c r="C142" s="137">
        <f>+COUNTIFS(GENERAL!$B:$B,'datos por personal'!C$1,GENERAL!$H:$H,'datos por personal'!$B142)</f>
        <v>1</v>
      </c>
      <c r="D142" s="137">
        <f>+COUNTIFS(GENERAL!$B:$B,'datos por personal'!D$1,GENERAL!$H:$H,'datos por personal'!$B142)</f>
        <v>0</v>
      </c>
      <c r="E142" s="137">
        <f>+COUNTIFS(GENERAL!$B:$B,'datos por personal'!E$1,GENERAL!$H:$H,'datos por personal'!$B142)</f>
        <v>0</v>
      </c>
      <c r="F142" s="137">
        <f>+COUNTIFS(GENERAL!$B:$B,'datos por personal'!F$1,GENERAL!$H:$H,'datos por personal'!$B142)</f>
        <v>0</v>
      </c>
      <c r="G142" s="137">
        <f>+COUNTIFS(GENERAL!$B:$B,'datos por personal'!G$1,GENERAL!$H:$H,'datos por personal'!$B142)</f>
        <v>0</v>
      </c>
      <c r="H142" s="137">
        <f>+COUNTIFS(GENERAL!$B:$B,'datos por personal'!H$1,GENERAL!$H:$H,'datos por personal'!$B142)</f>
        <v>0</v>
      </c>
      <c r="J142" s="135">
        <f t="shared" si="2"/>
        <v>1</v>
      </c>
    </row>
    <row r="143" spans="1:10">
      <c r="A143" s="162" t="s">
        <v>1874</v>
      </c>
      <c r="B143" s="163" t="s">
        <v>366</v>
      </c>
      <c r="C143" s="137">
        <f>+COUNTIFS(GENERAL!$B:$B,'datos por personal'!C$1,GENERAL!$H:$H,'datos por personal'!$B143)</f>
        <v>1</v>
      </c>
      <c r="D143" s="137">
        <f>+COUNTIFS(GENERAL!$B:$B,'datos por personal'!D$1,GENERAL!$H:$H,'datos por personal'!$B143)</f>
        <v>0</v>
      </c>
      <c r="E143" s="137">
        <f>+COUNTIFS(GENERAL!$B:$B,'datos por personal'!E$1,GENERAL!$H:$H,'datos por personal'!$B143)</f>
        <v>0</v>
      </c>
      <c r="F143" s="137">
        <f>+COUNTIFS(GENERAL!$B:$B,'datos por personal'!F$1,GENERAL!$H:$H,'datos por personal'!$B143)</f>
        <v>0</v>
      </c>
      <c r="G143" s="137">
        <f>+COUNTIFS(GENERAL!$B:$B,'datos por personal'!G$1,GENERAL!$H:$H,'datos por personal'!$B143)</f>
        <v>0</v>
      </c>
      <c r="H143" s="137">
        <f>+COUNTIFS(GENERAL!$B:$B,'datos por personal'!H$1,GENERAL!$H:$H,'datos por personal'!$B143)</f>
        <v>0</v>
      </c>
      <c r="J143" s="135">
        <f t="shared" si="2"/>
        <v>1</v>
      </c>
    </row>
    <row r="144" spans="1:10">
      <c r="A144" s="162" t="s">
        <v>1874</v>
      </c>
      <c r="B144" s="163" t="s">
        <v>377</v>
      </c>
      <c r="C144" s="137">
        <f>+COUNTIFS(GENERAL!$B:$B,'datos por personal'!C$1,GENERAL!$H:$H,'datos por personal'!$B144)</f>
        <v>0</v>
      </c>
      <c r="D144" s="137">
        <f>+COUNTIFS(GENERAL!$B:$B,'datos por personal'!D$1,GENERAL!$H:$H,'datos por personal'!$B144)</f>
        <v>1</v>
      </c>
      <c r="E144" s="137">
        <f>+COUNTIFS(GENERAL!$B:$B,'datos por personal'!E$1,GENERAL!$H:$H,'datos por personal'!$B144)</f>
        <v>1</v>
      </c>
      <c r="F144" s="137">
        <f>+COUNTIFS(GENERAL!$B:$B,'datos por personal'!F$1,GENERAL!$H:$H,'datos por personal'!$B144)</f>
        <v>0</v>
      </c>
      <c r="G144" s="137">
        <f>+COUNTIFS(GENERAL!$B:$B,'datos por personal'!G$1,GENERAL!$H:$H,'datos por personal'!$B144)</f>
        <v>0</v>
      </c>
      <c r="H144" s="137">
        <f>+COUNTIFS(GENERAL!$B:$B,'datos por personal'!H$1,GENERAL!$H:$H,'datos por personal'!$B144)</f>
        <v>0</v>
      </c>
      <c r="J144" s="135">
        <f t="shared" si="2"/>
        <v>2</v>
      </c>
    </row>
    <row r="145" spans="1:10">
      <c r="A145" s="162" t="s">
        <v>1874</v>
      </c>
      <c r="B145" s="163" t="s">
        <v>384</v>
      </c>
      <c r="C145" s="137">
        <f>+COUNTIFS(GENERAL!$B:$B,'datos por personal'!C$1,GENERAL!$H:$H,'datos por personal'!$B145)</f>
        <v>0</v>
      </c>
      <c r="D145" s="137">
        <f>+COUNTIFS(GENERAL!$B:$B,'datos por personal'!D$1,GENERAL!$H:$H,'datos por personal'!$B145)</f>
        <v>2</v>
      </c>
      <c r="E145" s="137">
        <f>+COUNTIFS(GENERAL!$B:$B,'datos por personal'!E$1,GENERAL!$H:$H,'datos por personal'!$B145)</f>
        <v>0</v>
      </c>
      <c r="F145" s="137">
        <f>+COUNTIFS(GENERAL!$B:$B,'datos por personal'!F$1,GENERAL!$H:$H,'datos por personal'!$B145)</f>
        <v>1</v>
      </c>
      <c r="G145" s="137">
        <f>+COUNTIFS(GENERAL!$B:$B,'datos por personal'!G$1,GENERAL!$H:$H,'datos por personal'!$B145)</f>
        <v>0</v>
      </c>
      <c r="H145" s="137">
        <f>+COUNTIFS(GENERAL!$B:$B,'datos por personal'!H$1,GENERAL!$H:$H,'datos por personal'!$B145)</f>
        <v>0</v>
      </c>
      <c r="J145" s="135">
        <f t="shared" si="2"/>
        <v>3</v>
      </c>
    </row>
    <row r="146" spans="1:10">
      <c r="A146" s="162" t="s">
        <v>1874</v>
      </c>
      <c r="B146" s="163" t="s">
        <v>409</v>
      </c>
      <c r="C146" s="137">
        <f>+COUNTIFS(GENERAL!$B:$B,'datos por personal'!C$1,GENERAL!$H:$H,'datos por personal'!$B146)</f>
        <v>0</v>
      </c>
      <c r="D146" s="137">
        <f>+COUNTIFS(GENERAL!$B:$B,'datos por personal'!D$1,GENERAL!$H:$H,'datos por personal'!$B146)</f>
        <v>1</v>
      </c>
      <c r="E146" s="137">
        <f>+COUNTIFS(GENERAL!$B:$B,'datos por personal'!E$1,GENERAL!$H:$H,'datos por personal'!$B146)</f>
        <v>0</v>
      </c>
      <c r="F146" s="137">
        <f>+COUNTIFS(GENERAL!$B:$B,'datos por personal'!F$1,GENERAL!$H:$H,'datos por personal'!$B146)</f>
        <v>0</v>
      </c>
      <c r="G146" s="137">
        <f>+COUNTIFS(GENERAL!$B:$B,'datos por personal'!G$1,GENERAL!$H:$H,'datos por personal'!$B146)</f>
        <v>0</v>
      </c>
      <c r="H146" s="137">
        <f>+COUNTIFS(GENERAL!$B:$B,'datos por personal'!H$1,GENERAL!$H:$H,'datos por personal'!$B146)</f>
        <v>0</v>
      </c>
      <c r="J146" s="135">
        <f t="shared" si="2"/>
        <v>1</v>
      </c>
    </row>
    <row r="147" spans="1:10">
      <c r="A147" s="162" t="s">
        <v>1874</v>
      </c>
      <c r="B147" s="163" t="s">
        <v>415</v>
      </c>
      <c r="C147" s="137">
        <f>+COUNTIFS(GENERAL!$B:$B,'datos por personal'!C$1,GENERAL!$H:$H,'datos por personal'!$B147)</f>
        <v>0</v>
      </c>
      <c r="D147" s="137">
        <f>+COUNTIFS(GENERAL!$B:$B,'datos por personal'!D$1,GENERAL!$H:$H,'datos por personal'!$B147)</f>
        <v>1</v>
      </c>
      <c r="E147" s="137">
        <f>+COUNTIFS(GENERAL!$B:$B,'datos por personal'!E$1,GENERAL!$H:$H,'datos por personal'!$B147)</f>
        <v>0</v>
      </c>
      <c r="F147" s="137">
        <f>+COUNTIFS(GENERAL!$B:$B,'datos por personal'!F$1,GENERAL!$H:$H,'datos por personal'!$B147)</f>
        <v>0</v>
      </c>
      <c r="G147" s="137">
        <f>+COUNTIFS(GENERAL!$B:$B,'datos por personal'!G$1,GENERAL!$H:$H,'datos por personal'!$B147)</f>
        <v>0</v>
      </c>
      <c r="H147" s="137">
        <f>+COUNTIFS(GENERAL!$B:$B,'datos por personal'!H$1,GENERAL!$H:$H,'datos por personal'!$B147)</f>
        <v>0</v>
      </c>
      <c r="J147" s="135">
        <f t="shared" si="2"/>
        <v>1</v>
      </c>
    </row>
    <row r="148" spans="1:10">
      <c r="A148" s="162" t="s">
        <v>1874</v>
      </c>
      <c r="B148" s="163" t="s">
        <v>422</v>
      </c>
      <c r="C148" s="137">
        <f>+COUNTIFS(GENERAL!$B:$B,'datos por personal'!C$1,GENERAL!$H:$H,'datos por personal'!$B148)</f>
        <v>0</v>
      </c>
      <c r="D148" s="137">
        <f>+COUNTIFS(GENERAL!$B:$B,'datos por personal'!D$1,GENERAL!$H:$H,'datos por personal'!$B148)</f>
        <v>1</v>
      </c>
      <c r="E148" s="137">
        <f>+COUNTIFS(GENERAL!$B:$B,'datos por personal'!E$1,GENERAL!$H:$H,'datos por personal'!$B148)</f>
        <v>0</v>
      </c>
      <c r="F148" s="137">
        <f>+COUNTIFS(GENERAL!$B:$B,'datos por personal'!F$1,GENERAL!$H:$H,'datos por personal'!$B148)</f>
        <v>0</v>
      </c>
      <c r="G148" s="137">
        <f>+COUNTIFS(GENERAL!$B:$B,'datos por personal'!G$1,GENERAL!$H:$H,'datos por personal'!$B148)</f>
        <v>1</v>
      </c>
      <c r="H148" s="137">
        <f>+COUNTIFS(GENERAL!$B:$B,'datos por personal'!H$1,GENERAL!$H:$H,'datos por personal'!$B148)</f>
        <v>0</v>
      </c>
      <c r="J148" s="135">
        <f t="shared" si="2"/>
        <v>2</v>
      </c>
    </row>
    <row r="149" spans="1:10">
      <c r="A149" s="162" t="s">
        <v>1874</v>
      </c>
      <c r="B149" s="163" t="s">
        <v>430</v>
      </c>
      <c r="C149" s="137">
        <f>+COUNTIFS(GENERAL!$B:$B,'datos por personal'!C$1,GENERAL!$H:$H,'datos por personal'!$B149)</f>
        <v>0</v>
      </c>
      <c r="D149" s="137">
        <f>+COUNTIFS(GENERAL!$B:$B,'datos por personal'!D$1,GENERAL!$H:$H,'datos por personal'!$B149)</f>
        <v>4</v>
      </c>
      <c r="E149" s="137">
        <f>+COUNTIFS(GENERAL!$B:$B,'datos por personal'!E$1,GENERAL!$H:$H,'datos por personal'!$B149)</f>
        <v>0</v>
      </c>
      <c r="F149" s="137">
        <f>+COUNTIFS(GENERAL!$B:$B,'datos por personal'!F$1,GENERAL!$H:$H,'datos por personal'!$B149)</f>
        <v>1</v>
      </c>
      <c r="G149" s="137">
        <f>+COUNTIFS(GENERAL!$B:$B,'datos por personal'!G$1,GENERAL!$H:$H,'datos por personal'!$B149)</f>
        <v>0</v>
      </c>
      <c r="H149" s="137">
        <f>+COUNTIFS(GENERAL!$B:$B,'datos por personal'!H$1,GENERAL!$H:$H,'datos por personal'!$B149)</f>
        <v>2</v>
      </c>
      <c r="J149" s="135">
        <f t="shared" si="2"/>
        <v>7</v>
      </c>
    </row>
    <row r="150" spans="1:10">
      <c r="A150" s="162" t="s">
        <v>1874</v>
      </c>
      <c r="B150" s="163" t="s">
        <v>447</v>
      </c>
      <c r="C150" s="137">
        <f>+COUNTIFS(GENERAL!$B:$B,'datos por personal'!C$1,GENERAL!$H:$H,'datos por personal'!$B150)</f>
        <v>0</v>
      </c>
      <c r="D150" s="137">
        <f>+COUNTIFS(GENERAL!$B:$B,'datos por personal'!D$1,GENERAL!$H:$H,'datos por personal'!$B150)</f>
        <v>1</v>
      </c>
      <c r="E150" s="137">
        <f>+COUNTIFS(GENERAL!$B:$B,'datos por personal'!E$1,GENERAL!$H:$H,'datos por personal'!$B150)</f>
        <v>0</v>
      </c>
      <c r="F150" s="137">
        <f>+COUNTIFS(GENERAL!$B:$B,'datos por personal'!F$1,GENERAL!$H:$H,'datos por personal'!$B150)</f>
        <v>0</v>
      </c>
      <c r="G150" s="137">
        <f>+COUNTIFS(GENERAL!$B:$B,'datos por personal'!G$1,GENERAL!$H:$H,'datos por personal'!$B150)</f>
        <v>0</v>
      </c>
      <c r="H150" s="137">
        <f>+COUNTIFS(GENERAL!$B:$B,'datos por personal'!H$1,GENERAL!$H:$H,'datos por personal'!$B150)</f>
        <v>1</v>
      </c>
      <c r="J150" s="135">
        <f t="shared" si="2"/>
        <v>2</v>
      </c>
    </row>
    <row r="151" spans="1:10">
      <c r="A151" s="162" t="s">
        <v>1874</v>
      </c>
      <c r="B151" s="163" t="s">
        <v>478</v>
      </c>
      <c r="C151" s="137">
        <f>+COUNTIFS(GENERAL!$B:$B,'datos por personal'!C$1,GENERAL!$H:$H,'datos por personal'!$B151)</f>
        <v>0</v>
      </c>
      <c r="D151" s="137">
        <f>+COUNTIFS(GENERAL!$B:$B,'datos por personal'!D$1,GENERAL!$H:$H,'datos por personal'!$B151)</f>
        <v>1</v>
      </c>
      <c r="E151" s="137">
        <f>+COUNTIFS(GENERAL!$B:$B,'datos por personal'!E$1,GENERAL!$H:$H,'datos por personal'!$B151)</f>
        <v>0</v>
      </c>
      <c r="F151" s="137">
        <f>+COUNTIFS(GENERAL!$B:$B,'datos por personal'!F$1,GENERAL!$H:$H,'datos por personal'!$B151)</f>
        <v>0</v>
      </c>
      <c r="G151" s="137">
        <f>+COUNTIFS(GENERAL!$B:$B,'datos por personal'!G$1,GENERAL!$H:$H,'datos por personal'!$B151)</f>
        <v>0</v>
      </c>
      <c r="H151" s="137">
        <f>+COUNTIFS(GENERAL!$B:$B,'datos por personal'!H$1,GENERAL!$H:$H,'datos por personal'!$B151)</f>
        <v>1</v>
      </c>
      <c r="J151" s="135">
        <f t="shared" si="2"/>
        <v>2</v>
      </c>
    </row>
    <row r="152" spans="1:10">
      <c r="A152" s="162" t="s">
        <v>1874</v>
      </c>
      <c r="B152" s="163" t="s">
        <v>516</v>
      </c>
      <c r="C152" s="137">
        <f>+COUNTIFS(GENERAL!$B:$B,'datos por personal'!C$1,GENERAL!$H:$H,'datos por personal'!$B152)</f>
        <v>0</v>
      </c>
      <c r="D152" s="137">
        <f>+COUNTIFS(GENERAL!$B:$B,'datos por personal'!D$1,GENERAL!$H:$H,'datos por personal'!$B152)</f>
        <v>1</v>
      </c>
      <c r="E152" s="137">
        <f>+COUNTIFS(GENERAL!$B:$B,'datos por personal'!E$1,GENERAL!$H:$H,'datos por personal'!$B152)</f>
        <v>0</v>
      </c>
      <c r="F152" s="137">
        <f>+COUNTIFS(GENERAL!$B:$B,'datos por personal'!F$1,GENERAL!$H:$H,'datos por personal'!$B152)</f>
        <v>1</v>
      </c>
      <c r="G152" s="137">
        <f>+COUNTIFS(GENERAL!$B:$B,'datos por personal'!G$1,GENERAL!$H:$H,'datos por personal'!$B152)</f>
        <v>0</v>
      </c>
      <c r="H152" s="137">
        <f>+COUNTIFS(GENERAL!$B:$B,'datos por personal'!H$1,GENERAL!$H:$H,'datos por personal'!$B152)</f>
        <v>0</v>
      </c>
      <c r="J152" s="135">
        <f t="shared" si="2"/>
        <v>2</v>
      </c>
    </row>
    <row r="153" spans="1:10">
      <c r="A153" s="162" t="s">
        <v>1874</v>
      </c>
      <c r="B153" s="163" t="s">
        <v>522</v>
      </c>
      <c r="C153" s="137">
        <f>+COUNTIFS(GENERAL!$B:$B,'datos por personal'!C$1,GENERAL!$H:$H,'datos por personal'!$B153)</f>
        <v>0</v>
      </c>
      <c r="D153" s="137">
        <f>+COUNTIFS(GENERAL!$B:$B,'datos por personal'!D$1,GENERAL!$H:$H,'datos por personal'!$B153)</f>
        <v>3</v>
      </c>
      <c r="E153" s="137">
        <f>+COUNTIFS(GENERAL!$B:$B,'datos por personal'!E$1,GENERAL!$H:$H,'datos por personal'!$B153)</f>
        <v>0</v>
      </c>
      <c r="F153" s="137">
        <f>+COUNTIFS(GENERAL!$B:$B,'datos por personal'!F$1,GENERAL!$H:$H,'datos por personal'!$B153)</f>
        <v>0</v>
      </c>
      <c r="G153" s="137">
        <f>+COUNTIFS(GENERAL!$B:$B,'datos por personal'!G$1,GENERAL!$H:$H,'datos por personal'!$B153)</f>
        <v>2</v>
      </c>
      <c r="H153" s="137">
        <f>+COUNTIFS(GENERAL!$B:$B,'datos por personal'!H$1,GENERAL!$H:$H,'datos por personal'!$B153)</f>
        <v>1</v>
      </c>
      <c r="J153" s="135">
        <f t="shared" si="2"/>
        <v>6</v>
      </c>
    </row>
    <row r="154" spans="1:10">
      <c r="A154" s="162" t="s">
        <v>1874</v>
      </c>
      <c r="B154" s="163" t="s">
        <v>545</v>
      </c>
      <c r="C154" s="137">
        <f>+COUNTIFS(GENERAL!$B:$B,'datos por personal'!C$1,GENERAL!$H:$H,'datos por personal'!$B154)</f>
        <v>0</v>
      </c>
      <c r="D154" s="137">
        <f>+COUNTIFS(GENERAL!$B:$B,'datos por personal'!D$1,GENERAL!$H:$H,'datos por personal'!$B154)</f>
        <v>1</v>
      </c>
      <c r="E154" s="137">
        <f>+COUNTIFS(GENERAL!$B:$B,'datos por personal'!E$1,GENERAL!$H:$H,'datos por personal'!$B154)</f>
        <v>0</v>
      </c>
      <c r="F154" s="137">
        <f>+COUNTIFS(GENERAL!$B:$B,'datos por personal'!F$1,GENERAL!$H:$H,'datos por personal'!$B154)</f>
        <v>2</v>
      </c>
      <c r="G154" s="137">
        <f>+COUNTIFS(GENERAL!$B:$B,'datos por personal'!G$1,GENERAL!$H:$H,'datos por personal'!$B154)</f>
        <v>0</v>
      </c>
      <c r="H154" s="137">
        <f>+COUNTIFS(GENERAL!$B:$B,'datos por personal'!H$1,GENERAL!$H:$H,'datos por personal'!$B154)</f>
        <v>1</v>
      </c>
      <c r="J154" s="135">
        <f t="shared" si="2"/>
        <v>4</v>
      </c>
    </row>
    <row r="155" spans="1:10">
      <c r="A155" s="162" t="s">
        <v>1874</v>
      </c>
      <c r="B155" s="163" t="s">
        <v>561</v>
      </c>
      <c r="C155" s="137">
        <f>+COUNTIFS(GENERAL!$B:$B,'datos por personal'!C$1,GENERAL!$H:$H,'datos por personal'!$B155)</f>
        <v>0</v>
      </c>
      <c r="D155" s="137">
        <f>+COUNTIFS(GENERAL!$B:$B,'datos por personal'!D$1,GENERAL!$H:$H,'datos por personal'!$B155)</f>
        <v>1</v>
      </c>
      <c r="E155" s="137">
        <f>+COUNTIFS(GENERAL!$B:$B,'datos por personal'!E$1,GENERAL!$H:$H,'datos por personal'!$B155)</f>
        <v>0</v>
      </c>
      <c r="F155" s="137">
        <f>+COUNTIFS(GENERAL!$B:$B,'datos por personal'!F$1,GENERAL!$H:$H,'datos por personal'!$B155)</f>
        <v>1</v>
      </c>
      <c r="G155" s="137">
        <f>+COUNTIFS(GENERAL!$B:$B,'datos por personal'!G$1,GENERAL!$H:$H,'datos por personal'!$B155)</f>
        <v>1</v>
      </c>
      <c r="H155" s="137">
        <f>+COUNTIFS(GENERAL!$B:$B,'datos por personal'!H$1,GENERAL!$H:$H,'datos por personal'!$B155)</f>
        <v>0</v>
      </c>
      <c r="J155" s="135">
        <f t="shared" si="2"/>
        <v>3</v>
      </c>
    </row>
    <row r="156" spans="1:10">
      <c r="A156" s="162" t="s">
        <v>1874</v>
      </c>
      <c r="B156" s="163" t="s">
        <v>589</v>
      </c>
      <c r="C156" s="137">
        <f>+COUNTIFS(GENERAL!$B:$B,'datos por personal'!C$1,GENERAL!$H:$H,'datos por personal'!$B156)</f>
        <v>0</v>
      </c>
      <c r="D156" s="137">
        <f>+COUNTIFS(GENERAL!$B:$B,'datos por personal'!D$1,GENERAL!$H:$H,'datos por personal'!$B156)</f>
        <v>2</v>
      </c>
      <c r="E156" s="137">
        <f>+COUNTIFS(GENERAL!$B:$B,'datos por personal'!E$1,GENERAL!$H:$H,'datos por personal'!$B156)</f>
        <v>1</v>
      </c>
      <c r="F156" s="137">
        <f>+COUNTIFS(GENERAL!$B:$B,'datos por personal'!F$1,GENERAL!$H:$H,'datos por personal'!$B156)</f>
        <v>3</v>
      </c>
      <c r="G156" s="137">
        <f>+COUNTIFS(GENERAL!$B:$B,'datos por personal'!G$1,GENERAL!$H:$H,'datos por personal'!$B156)</f>
        <v>0</v>
      </c>
      <c r="H156" s="137">
        <f>+COUNTIFS(GENERAL!$B:$B,'datos por personal'!H$1,GENERAL!$H:$H,'datos por personal'!$B156)</f>
        <v>0</v>
      </c>
      <c r="J156" s="135">
        <f t="shared" si="2"/>
        <v>6</v>
      </c>
    </row>
    <row r="157" spans="1:10">
      <c r="A157" s="162" t="s">
        <v>1874</v>
      </c>
      <c r="B157" s="163" t="s">
        <v>596</v>
      </c>
      <c r="C157" s="137">
        <f>+COUNTIFS(GENERAL!$B:$B,'datos por personal'!C$1,GENERAL!$H:$H,'datos por personal'!$B157)</f>
        <v>0</v>
      </c>
      <c r="D157" s="137">
        <f>+COUNTIFS(GENERAL!$B:$B,'datos por personal'!D$1,GENERAL!$H:$H,'datos por personal'!$B157)</f>
        <v>2</v>
      </c>
      <c r="E157" s="137">
        <f>+COUNTIFS(GENERAL!$B:$B,'datos por personal'!E$1,GENERAL!$H:$H,'datos por personal'!$B157)</f>
        <v>1</v>
      </c>
      <c r="F157" s="137">
        <f>+COUNTIFS(GENERAL!$B:$B,'datos por personal'!F$1,GENERAL!$H:$H,'datos por personal'!$B157)</f>
        <v>2</v>
      </c>
      <c r="G157" s="137">
        <f>+COUNTIFS(GENERAL!$B:$B,'datos por personal'!G$1,GENERAL!$H:$H,'datos por personal'!$B157)</f>
        <v>2</v>
      </c>
      <c r="H157" s="137">
        <f>+COUNTIFS(GENERAL!$B:$B,'datos por personal'!H$1,GENERAL!$H:$H,'datos por personal'!$B157)</f>
        <v>1</v>
      </c>
      <c r="J157" s="135">
        <f t="shared" si="2"/>
        <v>8</v>
      </c>
    </row>
    <row r="158" spans="1:10">
      <c r="A158" s="162" t="s">
        <v>1874</v>
      </c>
      <c r="B158" s="163" t="s">
        <v>606</v>
      </c>
      <c r="C158" s="137">
        <f>+COUNTIFS(GENERAL!$B:$B,'datos por personal'!C$1,GENERAL!$H:$H,'datos por personal'!$B158)</f>
        <v>0</v>
      </c>
      <c r="D158" s="137">
        <f>+COUNTIFS(GENERAL!$B:$B,'datos por personal'!D$1,GENERAL!$H:$H,'datos por personal'!$B158)</f>
        <v>1</v>
      </c>
      <c r="E158" s="137">
        <f>+COUNTIFS(GENERAL!$B:$B,'datos por personal'!E$1,GENERAL!$H:$H,'datos por personal'!$B158)</f>
        <v>1</v>
      </c>
      <c r="F158" s="137">
        <f>+COUNTIFS(GENERAL!$B:$B,'datos por personal'!F$1,GENERAL!$H:$H,'datos por personal'!$B158)</f>
        <v>0</v>
      </c>
      <c r="G158" s="137">
        <f>+COUNTIFS(GENERAL!$B:$B,'datos por personal'!G$1,GENERAL!$H:$H,'datos por personal'!$B158)</f>
        <v>0</v>
      </c>
      <c r="H158" s="137">
        <f>+COUNTIFS(GENERAL!$B:$B,'datos por personal'!H$1,GENERAL!$H:$H,'datos por personal'!$B158)</f>
        <v>0</v>
      </c>
      <c r="J158" s="135">
        <f t="shared" si="2"/>
        <v>2</v>
      </c>
    </row>
    <row r="159" spans="1:10">
      <c r="A159" s="162" t="s">
        <v>1874</v>
      </c>
      <c r="B159" s="163" t="s">
        <v>616</v>
      </c>
      <c r="C159" s="137">
        <f>+COUNTIFS(GENERAL!$B:$B,'datos por personal'!C$1,GENERAL!$H:$H,'datos por personal'!$B159)</f>
        <v>0</v>
      </c>
      <c r="D159" s="137">
        <f>+COUNTIFS(GENERAL!$B:$B,'datos por personal'!D$1,GENERAL!$H:$H,'datos por personal'!$B159)</f>
        <v>1</v>
      </c>
      <c r="E159" s="137">
        <f>+COUNTIFS(GENERAL!$B:$B,'datos por personal'!E$1,GENERAL!$H:$H,'datos por personal'!$B159)</f>
        <v>0</v>
      </c>
      <c r="F159" s="137">
        <f>+COUNTIFS(GENERAL!$B:$B,'datos por personal'!F$1,GENERAL!$H:$H,'datos por personal'!$B159)</f>
        <v>0</v>
      </c>
      <c r="G159" s="137">
        <f>+COUNTIFS(GENERAL!$B:$B,'datos por personal'!G$1,GENERAL!$H:$H,'datos por personal'!$B159)</f>
        <v>0</v>
      </c>
      <c r="H159" s="137">
        <f>+COUNTIFS(GENERAL!$B:$B,'datos por personal'!H$1,GENERAL!$H:$H,'datos por personal'!$B159)</f>
        <v>0</v>
      </c>
      <c r="J159" s="135">
        <f t="shared" si="2"/>
        <v>1</v>
      </c>
    </row>
    <row r="160" spans="1:10">
      <c r="A160" s="162" t="s">
        <v>1874</v>
      </c>
      <c r="B160" s="163" t="s">
        <v>622</v>
      </c>
      <c r="C160" s="137">
        <f>+COUNTIFS(GENERAL!$B:$B,'datos por personal'!C$1,GENERAL!$H:$H,'datos por personal'!$B160)</f>
        <v>0</v>
      </c>
      <c r="D160" s="137">
        <f>+COUNTIFS(GENERAL!$B:$B,'datos por personal'!D$1,GENERAL!$H:$H,'datos por personal'!$B160)</f>
        <v>1</v>
      </c>
      <c r="E160" s="137">
        <f>+COUNTIFS(GENERAL!$B:$B,'datos por personal'!E$1,GENERAL!$H:$H,'datos por personal'!$B160)</f>
        <v>0</v>
      </c>
      <c r="F160" s="137">
        <f>+COUNTIFS(GENERAL!$B:$B,'datos por personal'!F$1,GENERAL!$H:$H,'datos por personal'!$B160)</f>
        <v>0</v>
      </c>
      <c r="G160" s="137">
        <f>+COUNTIFS(GENERAL!$B:$B,'datos por personal'!G$1,GENERAL!$H:$H,'datos por personal'!$B160)</f>
        <v>0</v>
      </c>
      <c r="H160" s="137">
        <f>+COUNTIFS(GENERAL!$B:$B,'datos por personal'!H$1,GENERAL!$H:$H,'datos por personal'!$B160)</f>
        <v>0</v>
      </c>
      <c r="J160" s="135">
        <f t="shared" si="2"/>
        <v>1</v>
      </c>
    </row>
    <row r="161" spans="1:10">
      <c r="A161" s="162" t="s">
        <v>1874</v>
      </c>
      <c r="B161" s="163" t="s">
        <v>627</v>
      </c>
      <c r="C161" s="137">
        <f>+COUNTIFS(GENERAL!$B:$B,'datos por personal'!C$1,GENERAL!$H:$H,'datos por personal'!$B161)</f>
        <v>0</v>
      </c>
      <c r="D161" s="137">
        <f>+COUNTIFS(GENERAL!$B:$B,'datos por personal'!D$1,GENERAL!$H:$H,'datos por personal'!$B161)</f>
        <v>4</v>
      </c>
      <c r="E161" s="137">
        <f>+COUNTIFS(GENERAL!$B:$B,'datos por personal'!E$1,GENERAL!$H:$H,'datos por personal'!$B161)</f>
        <v>0</v>
      </c>
      <c r="F161" s="137">
        <f>+COUNTIFS(GENERAL!$B:$B,'datos por personal'!F$1,GENERAL!$H:$H,'datos por personal'!$B161)</f>
        <v>1</v>
      </c>
      <c r="G161" s="137">
        <f>+COUNTIFS(GENERAL!$B:$B,'datos por personal'!G$1,GENERAL!$H:$H,'datos por personal'!$B161)</f>
        <v>1</v>
      </c>
      <c r="H161" s="137">
        <f>+COUNTIFS(GENERAL!$B:$B,'datos por personal'!H$1,GENERAL!$H:$H,'datos por personal'!$B161)</f>
        <v>0</v>
      </c>
      <c r="J161" s="135">
        <f t="shared" si="2"/>
        <v>6</v>
      </c>
    </row>
    <row r="162" spans="1:10">
      <c r="A162" s="162" t="s">
        <v>1874</v>
      </c>
      <c r="B162" s="163" t="s">
        <v>640</v>
      </c>
      <c r="C162" s="137">
        <f>+COUNTIFS(GENERAL!$B:$B,'datos por personal'!C$1,GENERAL!$H:$H,'datos por personal'!$B162)</f>
        <v>0</v>
      </c>
      <c r="D162" s="137">
        <f>+COUNTIFS(GENERAL!$B:$B,'datos por personal'!D$1,GENERAL!$H:$H,'datos por personal'!$B162)</f>
        <v>1</v>
      </c>
      <c r="E162" s="137">
        <f>+COUNTIFS(GENERAL!$B:$B,'datos por personal'!E$1,GENERAL!$H:$H,'datos por personal'!$B162)</f>
        <v>0</v>
      </c>
      <c r="F162" s="137">
        <f>+COUNTIFS(GENERAL!$B:$B,'datos por personal'!F$1,GENERAL!$H:$H,'datos por personal'!$B162)</f>
        <v>0</v>
      </c>
      <c r="G162" s="137">
        <f>+COUNTIFS(GENERAL!$B:$B,'datos por personal'!G$1,GENERAL!$H:$H,'datos por personal'!$B162)</f>
        <v>0</v>
      </c>
      <c r="H162" s="137">
        <f>+COUNTIFS(GENERAL!$B:$B,'datos por personal'!H$1,GENERAL!$H:$H,'datos por personal'!$B162)</f>
        <v>0</v>
      </c>
      <c r="J162" s="135">
        <f t="shared" si="2"/>
        <v>1</v>
      </c>
    </row>
    <row r="163" spans="1:10">
      <c r="A163" s="162" t="s">
        <v>1874</v>
      </c>
      <c r="B163" s="163" t="s">
        <v>645</v>
      </c>
      <c r="C163" s="137">
        <f>+COUNTIFS(GENERAL!$B:$B,'datos por personal'!C$1,GENERAL!$H:$H,'datos por personal'!$B163)</f>
        <v>0</v>
      </c>
      <c r="D163" s="137">
        <f>+COUNTIFS(GENERAL!$B:$B,'datos por personal'!D$1,GENERAL!$H:$H,'datos por personal'!$B163)</f>
        <v>1</v>
      </c>
      <c r="E163" s="137">
        <f>+COUNTIFS(GENERAL!$B:$B,'datos por personal'!E$1,GENERAL!$H:$H,'datos por personal'!$B163)</f>
        <v>0</v>
      </c>
      <c r="F163" s="137">
        <f>+COUNTIFS(GENERAL!$B:$B,'datos por personal'!F$1,GENERAL!$H:$H,'datos por personal'!$B163)</f>
        <v>0</v>
      </c>
      <c r="G163" s="137">
        <f>+COUNTIFS(GENERAL!$B:$B,'datos por personal'!G$1,GENERAL!$H:$H,'datos por personal'!$B163)</f>
        <v>0</v>
      </c>
      <c r="H163" s="137">
        <f>+COUNTIFS(GENERAL!$B:$B,'datos por personal'!H$1,GENERAL!$H:$H,'datos por personal'!$B163)</f>
        <v>0</v>
      </c>
      <c r="J163" s="135">
        <f t="shared" si="2"/>
        <v>1</v>
      </c>
    </row>
    <row r="164" spans="1:10">
      <c r="A164" s="162" t="s">
        <v>1874</v>
      </c>
      <c r="B164" s="163" t="s">
        <v>658</v>
      </c>
      <c r="C164" s="137">
        <f>+COUNTIFS(GENERAL!$B:$B,'datos por personal'!C$1,GENERAL!$H:$H,'datos por personal'!$B164)</f>
        <v>0</v>
      </c>
      <c r="D164" s="137">
        <f>+COUNTIFS(GENERAL!$B:$B,'datos por personal'!D$1,GENERAL!$H:$H,'datos por personal'!$B164)</f>
        <v>1</v>
      </c>
      <c r="E164" s="137">
        <f>+COUNTIFS(GENERAL!$B:$B,'datos por personal'!E$1,GENERAL!$H:$H,'datos por personal'!$B164)</f>
        <v>0</v>
      </c>
      <c r="F164" s="137">
        <f>+COUNTIFS(GENERAL!$B:$B,'datos por personal'!F$1,GENERAL!$H:$H,'datos por personal'!$B164)</f>
        <v>1</v>
      </c>
      <c r="G164" s="137">
        <f>+COUNTIFS(GENERAL!$B:$B,'datos por personal'!G$1,GENERAL!$H:$H,'datos por personal'!$B164)</f>
        <v>0</v>
      </c>
      <c r="H164" s="137">
        <f>+COUNTIFS(GENERAL!$B:$B,'datos por personal'!H$1,GENERAL!$H:$H,'datos por personal'!$B164)</f>
        <v>0</v>
      </c>
      <c r="J164" s="135">
        <f t="shared" si="2"/>
        <v>2</v>
      </c>
    </row>
    <row r="165" spans="1:10">
      <c r="A165" s="162" t="s">
        <v>1874</v>
      </c>
      <c r="B165" s="163" t="s">
        <v>666</v>
      </c>
      <c r="C165" s="137">
        <f>+COUNTIFS(GENERAL!$B:$B,'datos por personal'!C$1,GENERAL!$H:$H,'datos por personal'!$B165)</f>
        <v>0</v>
      </c>
      <c r="D165" s="137">
        <f>+COUNTIFS(GENERAL!$B:$B,'datos por personal'!D$1,GENERAL!$H:$H,'datos por personal'!$B165)</f>
        <v>1</v>
      </c>
      <c r="E165" s="137">
        <f>+COUNTIFS(GENERAL!$B:$B,'datos por personal'!E$1,GENERAL!$H:$H,'datos por personal'!$B165)</f>
        <v>0</v>
      </c>
      <c r="F165" s="137">
        <f>+COUNTIFS(GENERAL!$B:$B,'datos por personal'!F$1,GENERAL!$H:$H,'datos por personal'!$B165)</f>
        <v>1</v>
      </c>
      <c r="G165" s="137">
        <f>+COUNTIFS(GENERAL!$B:$B,'datos por personal'!G$1,GENERAL!$H:$H,'datos por personal'!$B165)</f>
        <v>0</v>
      </c>
      <c r="H165" s="137">
        <f>+COUNTIFS(GENERAL!$B:$B,'datos por personal'!H$1,GENERAL!$H:$H,'datos por personal'!$B165)</f>
        <v>0</v>
      </c>
      <c r="J165" s="135">
        <f t="shared" si="2"/>
        <v>2</v>
      </c>
    </row>
    <row r="166" spans="1:10">
      <c r="A166" s="162" t="s">
        <v>1874</v>
      </c>
      <c r="B166" s="163" t="s">
        <v>681</v>
      </c>
      <c r="C166" s="137">
        <f>+COUNTIFS(GENERAL!$B:$B,'datos por personal'!C$1,GENERAL!$H:$H,'datos por personal'!$B166)</f>
        <v>0</v>
      </c>
      <c r="D166" s="137">
        <f>+COUNTIFS(GENERAL!$B:$B,'datos por personal'!D$1,GENERAL!$H:$H,'datos por personal'!$B166)</f>
        <v>1</v>
      </c>
      <c r="E166" s="137">
        <f>+COUNTIFS(GENERAL!$B:$B,'datos por personal'!E$1,GENERAL!$H:$H,'datos por personal'!$B166)</f>
        <v>0</v>
      </c>
      <c r="F166" s="137">
        <f>+COUNTIFS(GENERAL!$B:$B,'datos por personal'!F$1,GENERAL!$H:$H,'datos por personal'!$B166)</f>
        <v>0</v>
      </c>
      <c r="G166" s="137">
        <f>+COUNTIFS(GENERAL!$B:$B,'datos por personal'!G$1,GENERAL!$H:$H,'datos por personal'!$B166)</f>
        <v>1</v>
      </c>
      <c r="H166" s="137">
        <f>+COUNTIFS(GENERAL!$B:$B,'datos por personal'!H$1,GENERAL!$H:$H,'datos por personal'!$B166)</f>
        <v>1</v>
      </c>
      <c r="J166" s="135">
        <f t="shared" si="2"/>
        <v>3</v>
      </c>
    </row>
    <row r="167" spans="1:10">
      <c r="A167" s="162" t="s">
        <v>1874</v>
      </c>
      <c r="B167" s="163" t="s">
        <v>714</v>
      </c>
      <c r="C167" s="137">
        <f>+COUNTIFS(GENERAL!$B:$B,'datos por personal'!C$1,GENERAL!$H:$H,'datos por personal'!$B167)</f>
        <v>0</v>
      </c>
      <c r="D167" s="137">
        <f>+COUNTIFS(GENERAL!$B:$B,'datos por personal'!D$1,GENERAL!$H:$H,'datos por personal'!$B167)</f>
        <v>1</v>
      </c>
      <c r="E167" s="137">
        <f>+COUNTIFS(GENERAL!$B:$B,'datos por personal'!E$1,GENERAL!$H:$H,'datos por personal'!$B167)</f>
        <v>0</v>
      </c>
      <c r="F167" s="137">
        <f>+COUNTIFS(GENERAL!$B:$B,'datos por personal'!F$1,GENERAL!$H:$H,'datos por personal'!$B167)</f>
        <v>0</v>
      </c>
      <c r="G167" s="137">
        <f>+COUNTIFS(GENERAL!$B:$B,'datos por personal'!G$1,GENERAL!$H:$H,'datos por personal'!$B167)</f>
        <v>0</v>
      </c>
      <c r="H167" s="137">
        <f>+COUNTIFS(GENERAL!$B:$B,'datos por personal'!H$1,GENERAL!$H:$H,'datos por personal'!$B167)</f>
        <v>0</v>
      </c>
      <c r="J167" s="135">
        <f t="shared" si="2"/>
        <v>1</v>
      </c>
    </row>
    <row r="168" spans="1:10">
      <c r="A168" s="162" t="s">
        <v>1874</v>
      </c>
      <c r="B168" s="163" t="s">
        <v>727</v>
      </c>
      <c r="C168" s="137">
        <f>+COUNTIFS(GENERAL!$B:$B,'datos por personal'!C$1,GENERAL!$H:$H,'datos por personal'!$B168)</f>
        <v>0</v>
      </c>
      <c r="D168" s="137">
        <f>+COUNTIFS(GENERAL!$B:$B,'datos por personal'!D$1,GENERAL!$H:$H,'datos por personal'!$B168)</f>
        <v>1</v>
      </c>
      <c r="E168" s="137">
        <f>+COUNTIFS(GENERAL!$B:$B,'datos por personal'!E$1,GENERAL!$H:$H,'datos por personal'!$B168)</f>
        <v>0</v>
      </c>
      <c r="F168" s="137">
        <f>+COUNTIFS(GENERAL!$B:$B,'datos por personal'!F$1,GENERAL!$H:$H,'datos por personal'!$B168)</f>
        <v>0</v>
      </c>
      <c r="G168" s="137">
        <f>+COUNTIFS(GENERAL!$B:$B,'datos por personal'!G$1,GENERAL!$H:$H,'datos por personal'!$B168)</f>
        <v>0</v>
      </c>
      <c r="H168" s="137">
        <f>+COUNTIFS(GENERAL!$B:$B,'datos por personal'!H$1,GENERAL!$H:$H,'datos por personal'!$B168)</f>
        <v>0</v>
      </c>
      <c r="J168" s="135">
        <f t="shared" si="2"/>
        <v>1</v>
      </c>
    </row>
    <row r="169" spans="1:10">
      <c r="A169" s="162" t="s">
        <v>1874</v>
      </c>
      <c r="B169" s="163" t="s">
        <v>734</v>
      </c>
      <c r="C169" s="137">
        <f>+COUNTIFS(GENERAL!$B:$B,'datos por personal'!C$1,GENERAL!$H:$H,'datos por personal'!$B169)</f>
        <v>0</v>
      </c>
      <c r="D169" s="137">
        <f>+COUNTIFS(GENERAL!$B:$B,'datos por personal'!D$1,GENERAL!$H:$H,'datos por personal'!$B169)</f>
        <v>1</v>
      </c>
      <c r="E169" s="137">
        <f>+COUNTIFS(GENERAL!$B:$B,'datos por personal'!E$1,GENERAL!$H:$H,'datos por personal'!$B169)</f>
        <v>0</v>
      </c>
      <c r="F169" s="137">
        <f>+COUNTIFS(GENERAL!$B:$B,'datos por personal'!F$1,GENERAL!$H:$H,'datos por personal'!$B169)</f>
        <v>0</v>
      </c>
      <c r="G169" s="137">
        <f>+COUNTIFS(GENERAL!$B:$B,'datos por personal'!G$1,GENERAL!$H:$H,'datos por personal'!$B169)</f>
        <v>0</v>
      </c>
      <c r="H169" s="137">
        <f>+COUNTIFS(GENERAL!$B:$B,'datos por personal'!H$1,GENERAL!$H:$H,'datos por personal'!$B169)</f>
        <v>0</v>
      </c>
      <c r="J169" s="135">
        <f t="shared" si="2"/>
        <v>1</v>
      </c>
    </row>
    <row r="170" spans="1:10">
      <c r="A170" s="162" t="s">
        <v>1874</v>
      </c>
      <c r="B170" s="163" t="s">
        <v>741</v>
      </c>
      <c r="C170" s="137">
        <f>+COUNTIFS(GENERAL!$B:$B,'datos por personal'!C$1,GENERAL!$H:$H,'datos por personal'!$B170)</f>
        <v>0</v>
      </c>
      <c r="D170" s="137">
        <f>+COUNTIFS(GENERAL!$B:$B,'datos por personal'!D$1,GENERAL!$H:$H,'datos por personal'!$B170)</f>
        <v>0</v>
      </c>
      <c r="E170" s="137">
        <f>+COUNTIFS(GENERAL!$B:$B,'datos por personal'!E$1,GENERAL!$H:$H,'datos por personal'!$B170)</f>
        <v>1</v>
      </c>
      <c r="F170" s="137">
        <f>+COUNTIFS(GENERAL!$B:$B,'datos por personal'!F$1,GENERAL!$H:$H,'datos por personal'!$B170)</f>
        <v>1</v>
      </c>
      <c r="G170" s="137">
        <f>+COUNTIFS(GENERAL!$B:$B,'datos por personal'!G$1,GENERAL!$H:$H,'datos por personal'!$B170)</f>
        <v>0</v>
      </c>
      <c r="H170" s="137">
        <f>+COUNTIFS(GENERAL!$B:$B,'datos por personal'!H$1,GENERAL!$H:$H,'datos por personal'!$B170)</f>
        <v>1</v>
      </c>
      <c r="J170" s="135">
        <f t="shared" si="2"/>
        <v>3</v>
      </c>
    </row>
    <row r="171" spans="1:10">
      <c r="A171" s="162" t="s">
        <v>1874</v>
      </c>
      <c r="B171" s="163" t="s">
        <v>748</v>
      </c>
      <c r="C171" s="137">
        <f>+COUNTIFS(GENERAL!$B:$B,'datos por personal'!C$1,GENERAL!$H:$H,'datos por personal'!$B171)</f>
        <v>0</v>
      </c>
      <c r="D171" s="137">
        <f>+COUNTIFS(GENERAL!$B:$B,'datos por personal'!D$1,GENERAL!$H:$H,'datos por personal'!$B171)</f>
        <v>0</v>
      </c>
      <c r="E171" s="137">
        <f>+COUNTIFS(GENERAL!$B:$B,'datos por personal'!E$1,GENERAL!$H:$H,'datos por personal'!$B171)</f>
        <v>1</v>
      </c>
      <c r="F171" s="137">
        <f>+COUNTIFS(GENERAL!$B:$B,'datos por personal'!F$1,GENERAL!$H:$H,'datos por personal'!$B171)</f>
        <v>0</v>
      </c>
      <c r="G171" s="137">
        <f>+COUNTIFS(GENERAL!$B:$B,'datos por personal'!G$1,GENERAL!$H:$H,'datos por personal'!$B171)</f>
        <v>0</v>
      </c>
      <c r="H171" s="137">
        <f>+COUNTIFS(GENERAL!$B:$B,'datos por personal'!H$1,GENERAL!$H:$H,'datos por personal'!$B171)</f>
        <v>0</v>
      </c>
      <c r="J171" s="135">
        <f t="shared" si="2"/>
        <v>1</v>
      </c>
    </row>
    <row r="172" spans="1:10">
      <c r="A172" s="162" t="s">
        <v>1874</v>
      </c>
      <c r="B172" s="164" t="s">
        <v>770</v>
      </c>
      <c r="C172" s="137">
        <f>+COUNTIFS(GENERAL!$B:$B,'datos por personal'!C$1,GENERAL!$H:$H,'datos por personal'!$B172)</f>
        <v>0</v>
      </c>
      <c r="D172" s="137">
        <f>+COUNTIFS(GENERAL!$B:$B,'datos por personal'!D$1,GENERAL!$H:$H,'datos por personal'!$B172)</f>
        <v>0</v>
      </c>
      <c r="E172" s="137">
        <f>+COUNTIFS(GENERAL!$B:$B,'datos por personal'!E$1,GENERAL!$H:$H,'datos por personal'!$B172)</f>
        <v>1</v>
      </c>
      <c r="F172" s="137">
        <f>+COUNTIFS(GENERAL!$B:$B,'datos por personal'!F$1,GENERAL!$H:$H,'datos por personal'!$B172)</f>
        <v>0</v>
      </c>
      <c r="G172" s="137">
        <f>+COUNTIFS(GENERAL!$B:$B,'datos por personal'!G$1,GENERAL!$H:$H,'datos por personal'!$B172)</f>
        <v>0</v>
      </c>
      <c r="H172" s="137">
        <f>+COUNTIFS(GENERAL!$B:$B,'datos por personal'!H$1,GENERAL!$H:$H,'datos por personal'!$B172)</f>
        <v>0</v>
      </c>
      <c r="J172" s="135">
        <f t="shared" si="2"/>
        <v>1</v>
      </c>
    </row>
    <row r="173" spans="1:10">
      <c r="A173" s="162" t="s">
        <v>1874</v>
      </c>
      <c r="B173" s="163" t="s">
        <v>789</v>
      </c>
      <c r="C173" s="137">
        <f>+COUNTIFS(GENERAL!$B:$B,'datos por personal'!C$1,GENERAL!$H:$H,'datos por personal'!$B173)</f>
        <v>0</v>
      </c>
      <c r="D173" s="137">
        <f>+COUNTIFS(GENERAL!$B:$B,'datos por personal'!D$1,GENERAL!$H:$H,'datos por personal'!$B173)</f>
        <v>0</v>
      </c>
      <c r="E173" s="137">
        <f>+COUNTIFS(GENERAL!$B:$B,'datos por personal'!E$1,GENERAL!$H:$H,'datos por personal'!$B173)</f>
        <v>1</v>
      </c>
      <c r="F173" s="137">
        <f>+COUNTIFS(GENERAL!$B:$B,'datos por personal'!F$1,GENERAL!$H:$H,'datos por personal'!$B173)</f>
        <v>0</v>
      </c>
      <c r="G173" s="137">
        <f>+COUNTIFS(GENERAL!$B:$B,'datos por personal'!G$1,GENERAL!$H:$H,'datos por personal'!$B173)</f>
        <v>0</v>
      </c>
      <c r="H173" s="137">
        <f>+COUNTIFS(GENERAL!$B:$B,'datos por personal'!H$1,GENERAL!$H:$H,'datos por personal'!$B173)</f>
        <v>0</v>
      </c>
      <c r="J173" s="135">
        <f t="shared" si="2"/>
        <v>1</v>
      </c>
    </row>
    <row r="174" spans="1:10">
      <c r="A174" s="162" t="s">
        <v>1874</v>
      </c>
      <c r="B174" s="163" t="s">
        <v>796</v>
      </c>
      <c r="C174" s="137">
        <f>+COUNTIFS(GENERAL!$B:$B,'datos por personal'!C$1,GENERAL!$H:$H,'datos por personal'!$B174)</f>
        <v>0</v>
      </c>
      <c r="D174" s="137">
        <f>+COUNTIFS(GENERAL!$B:$B,'datos por personal'!D$1,GENERAL!$H:$H,'datos por personal'!$B174)</f>
        <v>0</v>
      </c>
      <c r="E174" s="137">
        <f>+COUNTIFS(GENERAL!$B:$B,'datos por personal'!E$1,GENERAL!$H:$H,'datos por personal'!$B174)</f>
        <v>1</v>
      </c>
      <c r="F174" s="137">
        <f>+COUNTIFS(GENERAL!$B:$B,'datos por personal'!F$1,GENERAL!$H:$H,'datos por personal'!$B174)</f>
        <v>2</v>
      </c>
      <c r="G174" s="137">
        <f>+COUNTIFS(GENERAL!$B:$B,'datos por personal'!G$1,GENERAL!$H:$H,'datos por personal'!$B174)</f>
        <v>1</v>
      </c>
      <c r="H174" s="137">
        <f>+COUNTIFS(GENERAL!$B:$B,'datos por personal'!H$1,GENERAL!$H:$H,'datos por personal'!$B174)</f>
        <v>1</v>
      </c>
      <c r="J174" s="135">
        <f t="shared" si="2"/>
        <v>5</v>
      </c>
    </row>
    <row r="175" spans="1:10">
      <c r="A175" s="162" t="s">
        <v>1874</v>
      </c>
      <c r="B175" s="163" t="s">
        <v>806</v>
      </c>
      <c r="C175" s="137">
        <f>+COUNTIFS(GENERAL!$B:$B,'datos por personal'!C$1,GENERAL!$H:$H,'datos por personal'!$B175)</f>
        <v>0</v>
      </c>
      <c r="D175" s="137">
        <f>+COUNTIFS(GENERAL!$B:$B,'datos por personal'!D$1,GENERAL!$H:$H,'datos por personal'!$B175)</f>
        <v>0</v>
      </c>
      <c r="E175" s="137">
        <f>+COUNTIFS(GENERAL!$B:$B,'datos por personal'!E$1,GENERAL!$H:$H,'datos por personal'!$B175)</f>
        <v>1</v>
      </c>
      <c r="F175" s="137">
        <f>+COUNTIFS(GENERAL!$B:$B,'datos por personal'!F$1,GENERAL!$H:$H,'datos por personal'!$B175)</f>
        <v>0</v>
      </c>
      <c r="G175" s="137">
        <f>+COUNTIFS(GENERAL!$B:$B,'datos por personal'!G$1,GENERAL!$H:$H,'datos por personal'!$B175)</f>
        <v>1</v>
      </c>
      <c r="H175" s="137">
        <f>+COUNTIFS(GENERAL!$B:$B,'datos por personal'!H$1,GENERAL!$H:$H,'datos por personal'!$B175)</f>
        <v>0</v>
      </c>
      <c r="J175" s="135">
        <f t="shared" si="2"/>
        <v>2</v>
      </c>
    </row>
    <row r="176" spans="1:10">
      <c r="A176" s="162" t="s">
        <v>1874</v>
      </c>
      <c r="B176" s="163" t="s">
        <v>816</v>
      </c>
      <c r="C176" s="137">
        <f>+COUNTIFS(GENERAL!$B:$B,'datos por personal'!C$1,GENERAL!$H:$H,'datos por personal'!$B176)</f>
        <v>0</v>
      </c>
      <c r="D176" s="137">
        <f>+COUNTIFS(GENERAL!$B:$B,'datos por personal'!D$1,GENERAL!$H:$H,'datos por personal'!$B176)</f>
        <v>0</v>
      </c>
      <c r="E176" s="137">
        <f>+COUNTIFS(GENERAL!$B:$B,'datos por personal'!E$1,GENERAL!$H:$H,'datos por personal'!$B176)</f>
        <v>3</v>
      </c>
      <c r="F176" s="137">
        <f>+COUNTIFS(GENERAL!$B:$B,'datos por personal'!F$1,GENERAL!$H:$H,'datos por personal'!$B176)</f>
        <v>0</v>
      </c>
      <c r="G176" s="137">
        <f>+COUNTIFS(GENERAL!$B:$B,'datos por personal'!G$1,GENERAL!$H:$H,'datos por personal'!$B176)</f>
        <v>0</v>
      </c>
      <c r="H176" s="137">
        <f>+COUNTIFS(GENERAL!$B:$B,'datos por personal'!H$1,GENERAL!$H:$H,'datos por personal'!$B176)</f>
        <v>0</v>
      </c>
      <c r="J176" s="135">
        <f t="shared" si="2"/>
        <v>3</v>
      </c>
    </row>
    <row r="177" spans="1:10">
      <c r="A177" s="162" t="s">
        <v>1874</v>
      </c>
      <c r="B177" s="163" t="s">
        <v>836</v>
      </c>
      <c r="C177" s="137">
        <f>+COUNTIFS(GENERAL!$B:$B,'datos por personal'!C$1,GENERAL!$H:$H,'datos por personal'!$B177)</f>
        <v>0</v>
      </c>
      <c r="D177" s="137">
        <f>+COUNTIFS(GENERAL!$B:$B,'datos por personal'!D$1,GENERAL!$H:$H,'datos por personal'!$B177)</f>
        <v>0</v>
      </c>
      <c r="E177" s="137">
        <f>+COUNTIFS(GENERAL!$B:$B,'datos por personal'!E$1,GENERAL!$H:$H,'datos por personal'!$B177)</f>
        <v>1</v>
      </c>
      <c r="F177" s="137">
        <f>+COUNTIFS(GENERAL!$B:$B,'datos por personal'!F$1,GENERAL!$H:$H,'datos por personal'!$B177)</f>
        <v>0</v>
      </c>
      <c r="G177" s="137">
        <f>+COUNTIFS(GENERAL!$B:$B,'datos por personal'!G$1,GENERAL!$H:$H,'datos por personal'!$B177)</f>
        <v>0</v>
      </c>
      <c r="H177" s="137">
        <f>+COUNTIFS(GENERAL!$B:$B,'datos por personal'!H$1,GENERAL!$H:$H,'datos por personal'!$B177)</f>
        <v>0</v>
      </c>
      <c r="J177" s="135">
        <f t="shared" si="2"/>
        <v>1</v>
      </c>
    </row>
    <row r="178" spans="1:10">
      <c r="A178" s="162" t="s">
        <v>1874</v>
      </c>
      <c r="B178" s="163" t="s">
        <v>846</v>
      </c>
      <c r="C178" s="137">
        <f>+COUNTIFS(GENERAL!$B:$B,'datos por personal'!C$1,GENERAL!$H:$H,'datos por personal'!$B178)</f>
        <v>0</v>
      </c>
      <c r="D178" s="137">
        <f>+COUNTIFS(GENERAL!$B:$B,'datos por personal'!D$1,GENERAL!$H:$H,'datos por personal'!$B178)</f>
        <v>0</v>
      </c>
      <c r="E178" s="137">
        <f>+COUNTIFS(GENERAL!$B:$B,'datos por personal'!E$1,GENERAL!$H:$H,'datos por personal'!$B178)</f>
        <v>1</v>
      </c>
      <c r="F178" s="137">
        <f>+COUNTIFS(GENERAL!$B:$B,'datos por personal'!F$1,GENERAL!$H:$H,'datos por personal'!$B178)</f>
        <v>0</v>
      </c>
      <c r="G178" s="137">
        <f>+COUNTIFS(GENERAL!$B:$B,'datos por personal'!G$1,GENERAL!$H:$H,'datos por personal'!$B178)</f>
        <v>0</v>
      </c>
      <c r="H178" s="137">
        <f>+COUNTIFS(GENERAL!$B:$B,'datos por personal'!H$1,GENERAL!$H:$H,'datos por personal'!$B178)</f>
        <v>0</v>
      </c>
      <c r="J178" s="135">
        <f t="shared" si="2"/>
        <v>1</v>
      </c>
    </row>
    <row r="179" spans="1:10">
      <c r="A179" s="162" t="s">
        <v>1874</v>
      </c>
      <c r="B179" s="163" t="s">
        <v>861</v>
      </c>
      <c r="C179" s="137">
        <f>+COUNTIFS(GENERAL!$B:$B,'datos por personal'!C$1,GENERAL!$H:$H,'datos por personal'!$B179)</f>
        <v>0</v>
      </c>
      <c r="D179" s="137">
        <f>+COUNTIFS(GENERAL!$B:$B,'datos por personal'!D$1,GENERAL!$H:$H,'datos por personal'!$B179)</f>
        <v>0</v>
      </c>
      <c r="E179" s="137">
        <f>+COUNTIFS(GENERAL!$B:$B,'datos por personal'!E$1,GENERAL!$H:$H,'datos por personal'!$B179)</f>
        <v>1</v>
      </c>
      <c r="F179" s="137">
        <f>+COUNTIFS(GENERAL!$B:$B,'datos por personal'!F$1,GENERAL!$H:$H,'datos por personal'!$B179)</f>
        <v>0</v>
      </c>
      <c r="G179" s="137">
        <f>+COUNTIFS(GENERAL!$B:$B,'datos por personal'!G$1,GENERAL!$H:$H,'datos por personal'!$B179)</f>
        <v>0</v>
      </c>
      <c r="H179" s="137">
        <f>+COUNTIFS(GENERAL!$B:$B,'datos por personal'!H$1,GENERAL!$H:$H,'datos por personal'!$B179)</f>
        <v>0</v>
      </c>
      <c r="J179" s="135">
        <f t="shared" si="2"/>
        <v>1</v>
      </c>
    </row>
    <row r="180" spans="1:10">
      <c r="A180" s="162" t="s">
        <v>1874</v>
      </c>
      <c r="B180" s="163" t="s">
        <v>866</v>
      </c>
      <c r="C180" s="137">
        <f>+COUNTIFS(GENERAL!$B:$B,'datos por personal'!C$1,GENERAL!$H:$H,'datos por personal'!$B180)</f>
        <v>0</v>
      </c>
      <c r="D180" s="137">
        <f>+COUNTIFS(GENERAL!$B:$B,'datos por personal'!D$1,GENERAL!$H:$H,'datos por personal'!$B180)</f>
        <v>0</v>
      </c>
      <c r="E180" s="137">
        <f>+COUNTIFS(GENERAL!$B:$B,'datos por personal'!E$1,GENERAL!$H:$H,'datos por personal'!$B180)</f>
        <v>1</v>
      </c>
      <c r="F180" s="137">
        <f>+COUNTIFS(GENERAL!$B:$B,'datos por personal'!F$1,GENERAL!$H:$H,'datos por personal'!$B180)</f>
        <v>0</v>
      </c>
      <c r="G180" s="137">
        <f>+COUNTIFS(GENERAL!$B:$B,'datos por personal'!G$1,GENERAL!$H:$H,'datos por personal'!$B180)</f>
        <v>0</v>
      </c>
      <c r="H180" s="137">
        <f>+COUNTIFS(GENERAL!$B:$B,'datos por personal'!H$1,GENERAL!$H:$H,'datos por personal'!$B180)</f>
        <v>0</v>
      </c>
      <c r="J180" s="135">
        <f t="shared" si="2"/>
        <v>1</v>
      </c>
    </row>
    <row r="181" spans="1:10">
      <c r="A181" s="162" t="s">
        <v>1874</v>
      </c>
      <c r="B181" s="163" t="s">
        <v>884</v>
      </c>
      <c r="C181" s="137">
        <f>+COUNTIFS(GENERAL!$B:$B,'datos por personal'!C$1,GENERAL!$H:$H,'datos por personal'!$B181)</f>
        <v>0</v>
      </c>
      <c r="D181" s="137">
        <f>+COUNTIFS(GENERAL!$B:$B,'datos por personal'!D$1,GENERAL!$H:$H,'datos por personal'!$B181)</f>
        <v>0</v>
      </c>
      <c r="E181" s="137">
        <f>+COUNTIFS(GENERAL!$B:$B,'datos por personal'!E$1,GENERAL!$H:$H,'datos por personal'!$B181)</f>
        <v>1</v>
      </c>
      <c r="F181" s="137">
        <f>+COUNTIFS(GENERAL!$B:$B,'datos por personal'!F$1,GENERAL!$H:$H,'datos por personal'!$B181)</f>
        <v>0</v>
      </c>
      <c r="G181" s="137">
        <f>+COUNTIFS(GENERAL!$B:$B,'datos por personal'!G$1,GENERAL!$H:$H,'datos por personal'!$B181)</f>
        <v>0</v>
      </c>
      <c r="H181" s="137">
        <f>+COUNTIFS(GENERAL!$B:$B,'datos por personal'!H$1,GENERAL!$H:$H,'datos por personal'!$B181)</f>
        <v>0</v>
      </c>
      <c r="J181" s="135">
        <f t="shared" si="2"/>
        <v>1</v>
      </c>
    </row>
    <row r="182" spans="1:10">
      <c r="A182" s="162" t="s">
        <v>1874</v>
      </c>
      <c r="B182" s="163" t="s">
        <v>896</v>
      </c>
      <c r="C182" s="137">
        <f>+COUNTIFS(GENERAL!$B:$B,'datos por personal'!C$1,GENERAL!$H:$H,'datos por personal'!$B182)</f>
        <v>0</v>
      </c>
      <c r="D182" s="137">
        <f>+COUNTIFS(GENERAL!$B:$B,'datos por personal'!D$1,GENERAL!$H:$H,'datos por personal'!$B182)</f>
        <v>0</v>
      </c>
      <c r="E182" s="137">
        <f>+COUNTIFS(GENERAL!$B:$B,'datos por personal'!E$1,GENERAL!$H:$H,'datos por personal'!$B182)</f>
        <v>1</v>
      </c>
      <c r="F182" s="137">
        <f>+COUNTIFS(GENERAL!$B:$B,'datos por personal'!F$1,GENERAL!$H:$H,'datos por personal'!$B182)</f>
        <v>0</v>
      </c>
      <c r="G182" s="137">
        <f>+COUNTIFS(GENERAL!$B:$B,'datos por personal'!G$1,GENERAL!$H:$H,'datos por personal'!$B182)</f>
        <v>1</v>
      </c>
      <c r="H182" s="137">
        <f>+COUNTIFS(GENERAL!$B:$B,'datos por personal'!H$1,GENERAL!$H:$H,'datos por personal'!$B182)</f>
        <v>0</v>
      </c>
      <c r="J182" s="135">
        <f t="shared" si="2"/>
        <v>2</v>
      </c>
    </row>
    <row r="183" spans="1:10">
      <c r="A183" s="162" t="s">
        <v>1874</v>
      </c>
      <c r="B183" s="163" t="s">
        <v>901</v>
      </c>
      <c r="C183" s="137">
        <f>+COUNTIFS(GENERAL!$B:$B,'datos por personal'!C$1,GENERAL!$H:$H,'datos por personal'!$B183)</f>
        <v>0</v>
      </c>
      <c r="D183" s="137">
        <f>+COUNTIFS(GENERAL!$B:$B,'datos por personal'!D$1,GENERAL!$H:$H,'datos por personal'!$B183)</f>
        <v>0</v>
      </c>
      <c r="E183" s="137">
        <f>+COUNTIFS(GENERAL!$B:$B,'datos por personal'!E$1,GENERAL!$H:$H,'datos por personal'!$B183)</f>
        <v>1</v>
      </c>
      <c r="F183" s="137">
        <f>+COUNTIFS(GENERAL!$B:$B,'datos por personal'!F$1,GENERAL!$H:$H,'datos por personal'!$B183)</f>
        <v>0</v>
      </c>
      <c r="G183" s="137">
        <f>+COUNTIFS(GENERAL!$B:$B,'datos por personal'!G$1,GENERAL!$H:$H,'datos por personal'!$B183)</f>
        <v>0</v>
      </c>
      <c r="H183" s="137">
        <f>+COUNTIFS(GENERAL!$B:$B,'datos por personal'!H$1,GENERAL!$H:$H,'datos por personal'!$B183)</f>
        <v>0</v>
      </c>
      <c r="J183" s="135">
        <f t="shared" si="2"/>
        <v>1</v>
      </c>
    </row>
    <row r="184" spans="1:10">
      <c r="A184" s="162" t="s">
        <v>1874</v>
      </c>
      <c r="B184" s="163" t="s">
        <v>908</v>
      </c>
      <c r="C184" s="137">
        <f>+COUNTIFS(GENERAL!$B:$B,'datos por personal'!C$1,GENERAL!$H:$H,'datos por personal'!$B184)</f>
        <v>0</v>
      </c>
      <c r="D184" s="137">
        <f>+COUNTIFS(GENERAL!$B:$B,'datos por personal'!D$1,GENERAL!$H:$H,'datos por personal'!$B184)</f>
        <v>0</v>
      </c>
      <c r="E184" s="137">
        <f>+COUNTIFS(GENERAL!$B:$B,'datos por personal'!E$1,GENERAL!$H:$H,'datos por personal'!$B184)</f>
        <v>1</v>
      </c>
      <c r="F184" s="137">
        <f>+COUNTIFS(GENERAL!$B:$B,'datos por personal'!F$1,GENERAL!$H:$H,'datos por personal'!$B184)</f>
        <v>0</v>
      </c>
      <c r="G184" s="137">
        <f>+COUNTIFS(GENERAL!$B:$B,'datos por personal'!G$1,GENERAL!$H:$H,'datos por personal'!$B184)</f>
        <v>1</v>
      </c>
      <c r="H184" s="137">
        <f>+COUNTIFS(GENERAL!$B:$B,'datos por personal'!H$1,GENERAL!$H:$H,'datos por personal'!$B184)</f>
        <v>0</v>
      </c>
      <c r="J184" s="135">
        <f t="shared" si="2"/>
        <v>2</v>
      </c>
    </row>
    <row r="185" spans="1:10">
      <c r="A185" s="162" t="s">
        <v>1874</v>
      </c>
      <c r="B185" s="163" t="s">
        <v>915</v>
      </c>
      <c r="C185" s="137">
        <f>+COUNTIFS(GENERAL!$B:$B,'datos por personal'!C$1,GENERAL!$H:$H,'datos por personal'!$B185)</f>
        <v>0</v>
      </c>
      <c r="D185" s="137">
        <f>+COUNTIFS(GENERAL!$B:$B,'datos por personal'!D$1,GENERAL!$H:$H,'datos por personal'!$B185)</f>
        <v>0</v>
      </c>
      <c r="E185" s="137">
        <f>+COUNTIFS(GENERAL!$B:$B,'datos por personal'!E$1,GENERAL!$H:$H,'datos por personal'!$B185)</f>
        <v>1</v>
      </c>
      <c r="F185" s="137">
        <f>+COUNTIFS(GENERAL!$B:$B,'datos por personal'!F$1,GENERAL!$H:$H,'datos por personal'!$B185)</f>
        <v>0</v>
      </c>
      <c r="G185" s="137">
        <f>+COUNTIFS(GENERAL!$B:$B,'datos por personal'!G$1,GENERAL!$H:$H,'datos por personal'!$B185)</f>
        <v>0</v>
      </c>
      <c r="H185" s="137">
        <f>+COUNTIFS(GENERAL!$B:$B,'datos por personal'!H$1,GENERAL!$H:$H,'datos por personal'!$B185)</f>
        <v>0</v>
      </c>
      <c r="J185" s="135">
        <f t="shared" si="2"/>
        <v>1</v>
      </c>
    </row>
    <row r="186" spans="1:10">
      <c r="A186" s="162" t="s">
        <v>1874</v>
      </c>
      <c r="B186" s="164" t="s">
        <v>956</v>
      </c>
      <c r="C186" s="137">
        <f>+COUNTIFS(GENERAL!$B:$B,'datos por personal'!C$1,GENERAL!$H:$H,'datos por personal'!$B186)</f>
        <v>0</v>
      </c>
      <c r="D186" s="137">
        <f>+COUNTIFS(GENERAL!$B:$B,'datos por personal'!D$1,GENERAL!$H:$H,'datos por personal'!$B186)</f>
        <v>0</v>
      </c>
      <c r="E186" s="137">
        <f>+COUNTIFS(GENERAL!$B:$B,'datos por personal'!E$1,GENERAL!$H:$H,'datos por personal'!$B186)</f>
        <v>1</v>
      </c>
      <c r="F186" s="137">
        <f>+COUNTIFS(GENERAL!$B:$B,'datos por personal'!F$1,GENERAL!$H:$H,'datos por personal'!$B186)</f>
        <v>1</v>
      </c>
      <c r="G186" s="137">
        <f>+COUNTIFS(GENERAL!$B:$B,'datos por personal'!G$1,GENERAL!$H:$H,'datos por personal'!$B186)</f>
        <v>2</v>
      </c>
      <c r="H186" s="137">
        <f>+COUNTIFS(GENERAL!$B:$B,'datos por personal'!H$1,GENERAL!$H:$H,'datos por personal'!$B186)</f>
        <v>0</v>
      </c>
      <c r="J186" s="135">
        <f t="shared" si="2"/>
        <v>4</v>
      </c>
    </row>
    <row r="187" spans="1:10">
      <c r="A187" s="162" t="s">
        <v>1874</v>
      </c>
      <c r="B187" s="163" t="s">
        <v>979</v>
      </c>
      <c r="C187" s="137">
        <f>+COUNTIFS(GENERAL!$B:$B,'datos por personal'!C$1,GENERAL!$H:$H,'datos por personal'!$B187)</f>
        <v>0</v>
      </c>
      <c r="D187" s="137">
        <f>+COUNTIFS(GENERAL!$B:$B,'datos por personal'!D$1,GENERAL!$H:$H,'datos por personal'!$B187)</f>
        <v>0</v>
      </c>
      <c r="E187" s="137">
        <f>+COUNTIFS(GENERAL!$B:$B,'datos por personal'!E$1,GENERAL!$H:$H,'datos por personal'!$B187)</f>
        <v>1</v>
      </c>
      <c r="F187" s="137">
        <f>+COUNTIFS(GENERAL!$B:$B,'datos por personal'!F$1,GENERAL!$H:$H,'datos por personal'!$B187)</f>
        <v>0</v>
      </c>
      <c r="G187" s="137">
        <f>+COUNTIFS(GENERAL!$B:$B,'datos por personal'!G$1,GENERAL!$H:$H,'datos por personal'!$B187)</f>
        <v>0</v>
      </c>
      <c r="H187" s="137">
        <f>+COUNTIFS(GENERAL!$B:$B,'datos por personal'!H$1,GENERAL!$H:$H,'datos por personal'!$B187)</f>
        <v>0</v>
      </c>
      <c r="J187" s="135">
        <f t="shared" si="2"/>
        <v>1</v>
      </c>
    </row>
    <row r="188" spans="1:10">
      <c r="A188" s="162" t="s">
        <v>1874</v>
      </c>
      <c r="B188" s="163" t="s">
        <v>988</v>
      </c>
      <c r="C188" s="137">
        <f>+COUNTIFS(GENERAL!$B:$B,'datos por personal'!C$1,GENERAL!$H:$H,'datos por personal'!$B188)</f>
        <v>0</v>
      </c>
      <c r="D188" s="137">
        <f>+COUNTIFS(GENERAL!$B:$B,'datos por personal'!D$1,GENERAL!$H:$H,'datos por personal'!$B188)</f>
        <v>0</v>
      </c>
      <c r="E188" s="137">
        <f>+COUNTIFS(GENERAL!$B:$B,'datos por personal'!E$1,GENERAL!$H:$H,'datos por personal'!$B188)</f>
        <v>1</v>
      </c>
      <c r="F188" s="137">
        <f>+COUNTIFS(GENERAL!$B:$B,'datos por personal'!F$1,GENERAL!$H:$H,'datos por personal'!$B188)</f>
        <v>2</v>
      </c>
      <c r="G188" s="137">
        <f>+COUNTIFS(GENERAL!$B:$B,'datos por personal'!G$1,GENERAL!$H:$H,'datos por personal'!$B188)</f>
        <v>0</v>
      </c>
      <c r="H188" s="137">
        <f>+COUNTIFS(GENERAL!$B:$B,'datos por personal'!H$1,GENERAL!$H:$H,'datos por personal'!$B188)</f>
        <v>0</v>
      </c>
      <c r="J188" s="135">
        <f t="shared" si="2"/>
        <v>3</v>
      </c>
    </row>
    <row r="189" spans="1:10">
      <c r="A189" s="162" t="s">
        <v>1874</v>
      </c>
      <c r="B189" s="163" t="s">
        <v>1036</v>
      </c>
      <c r="C189" s="137">
        <f>+COUNTIFS(GENERAL!$B:$B,'datos por personal'!C$1,GENERAL!$H:$H,'datos por personal'!$B189)</f>
        <v>0</v>
      </c>
      <c r="D189" s="137">
        <f>+COUNTIFS(GENERAL!$B:$B,'datos por personal'!D$1,GENERAL!$H:$H,'datos por personal'!$B189)</f>
        <v>0</v>
      </c>
      <c r="E189" s="137">
        <f>+COUNTIFS(GENERAL!$B:$B,'datos por personal'!E$1,GENERAL!$H:$H,'datos por personal'!$B189)</f>
        <v>0</v>
      </c>
      <c r="F189" s="137">
        <f>+COUNTIFS(GENERAL!$B:$B,'datos por personal'!F$1,GENERAL!$H:$H,'datos por personal'!$B189)</f>
        <v>1</v>
      </c>
      <c r="G189" s="137">
        <f>+COUNTIFS(GENERAL!$B:$B,'datos por personal'!G$1,GENERAL!$H:$H,'datos por personal'!$B189)</f>
        <v>0</v>
      </c>
      <c r="H189" s="137">
        <f>+COUNTIFS(GENERAL!$B:$B,'datos por personal'!H$1,GENERAL!$H:$H,'datos por personal'!$B189)</f>
        <v>0</v>
      </c>
      <c r="J189" s="135">
        <f t="shared" si="2"/>
        <v>1</v>
      </c>
    </row>
    <row r="190" spans="1:10">
      <c r="A190" s="162" t="s">
        <v>1874</v>
      </c>
      <c r="B190" s="163" t="s">
        <v>1045</v>
      </c>
      <c r="C190" s="137">
        <f>+COUNTIFS(GENERAL!$B:$B,'datos por personal'!C$1,GENERAL!$H:$H,'datos por personal'!$B190)</f>
        <v>0</v>
      </c>
      <c r="D190" s="137">
        <f>+COUNTIFS(GENERAL!$B:$B,'datos por personal'!D$1,GENERAL!$H:$H,'datos por personal'!$B190)</f>
        <v>0</v>
      </c>
      <c r="E190" s="137">
        <f>+COUNTIFS(GENERAL!$B:$B,'datos por personal'!E$1,GENERAL!$H:$H,'datos por personal'!$B190)</f>
        <v>0</v>
      </c>
      <c r="F190" s="137">
        <f>+COUNTIFS(GENERAL!$B:$B,'datos por personal'!F$1,GENERAL!$H:$H,'datos por personal'!$B190)</f>
        <v>1</v>
      </c>
      <c r="G190" s="137">
        <f>+COUNTIFS(GENERAL!$B:$B,'datos por personal'!G$1,GENERAL!$H:$H,'datos por personal'!$B190)</f>
        <v>0</v>
      </c>
      <c r="H190" s="137">
        <f>+COUNTIFS(GENERAL!$B:$B,'datos por personal'!H$1,GENERAL!$H:$H,'datos por personal'!$B190)</f>
        <v>0</v>
      </c>
      <c r="J190" s="135">
        <f t="shared" si="2"/>
        <v>1</v>
      </c>
    </row>
    <row r="191" spans="1:10">
      <c r="A191" s="162" t="s">
        <v>1874</v>
      </c>
      <c r="B191" s="163" t="s">
        <v>1052</v>
      </c>
      <c r="C191" s="137">
        <f>+COUNTIFS(GENERAL!$B:$B,'datos por personal'!C$1,GENERAL!$H:$H,'datos por personal'!$B191)</f>
        <v>0</v>
      </c>
      <c r="D191" s="137">
        <f>+COUNTIFS(GENERAL!$B:$B,'datos por personal'!D$1,GENERAL!$H:$H,'datos por personal'!$B191)</f>
        <v>0</v>
      </c>
      <c r="E191" s="137">
        <f>+COUNTIFS(GENERAL!$B:$B,'datos por personal'!E$1,GENERAL!$H:$H,'datos por personal'!$B191)</f>
        <v>0</v>
      </c>
      <c r="F191" s="137">
        <f>+COUNTIFS(GENERAL!$B:$B,'datos por personal'!F$1,GENERAL!$H:$H,'datos por personal'!$B191)</f>
        <v>1</v>
      </c>
      <c r="G191" s="137">
        <f>+COUNTIFS(GENERAL!$B:$B,'datos por personal'!G$1,GENERAL!$H:$H,'datos por personal'!$B191)</f>
        <v>0</v>
      </c>
      <c r="H191" s="137">
        <f>+COUNTIFS(GENERAL!$B:$B,'datos por personal'!H$1,GENERAL!$H:$H,'datos por personal'!$B191)</f>
        <v>0</v>
      </c>
      <c r="J191" s="135">
        <f t="shared" si="2"/>
        <v>1</v>
      </c>
    </row>
    <row r="192" spans="1:10">
      <c r="A192" s="162" t="s">
        <v>1874</v>
      </c>
      <c r="B192" s="163" t="s">
        <v>1061</v>
      </c>
      <c r="C192" s="137">
        <f>+COUNTIFS(GENERAL!$B:$B,'datos por personal'!C$1,GENERAL!$H:$H,'datos por personal'!$B192)</f>
        <v>0</v>
      </c>
      <c r="D192" s="137">
        <f>+COUNTIFS(GENERAL!$B:$B,'datos por personal'!D$1,GENERAL!$H:$H,'datos por personal'!$B192)</f>
        <v>0</v>
      </c>
      <c r="E192" s="137">
        <f>+COUNTIFS(GENERAL!$B:$B,'datos por personal'!E$1,GENERAL!$H:$H,'datos por personal'!$B192)</f>
        <v>0</v>
      </c>
      <c r="F192" s="137">
        <f>+COUNTIFS(GENERAL!$B:$B,'datos por personal'!F$1,GENERAL!$H:$H,'datos por personal'!$B192)</f>
        <v>1</v>
      </c>
      <c r="G192" s="137">
        <f>+COUNTIFS(GENERAL!$B:$B,'datos por personal'!G$1,GENERAL!$H:$H,'datos por personal'!$B192)</f>
        <v>0</v>
      </c>
      <c r="H192" s="137">
        <f>+COUNTIFS(GENERAL!$B:$B,'datos por personal'!H$1,GENERAL!$H:$H,'datos por personal'!$B192)</f>
        <v>0</v>
      </c>
      <c r="J192" s="135">
        <f t="shared" si="2"/>
        <v>1</v>
      </c>
    </row>
    <row r="193" spans="1:10">
      <c r="A193" s="162" t="s">
        <v>1874</v>
      </c>
      <c r="B193" s="163" t="s">
        <v>1080</v>
      </c>
      <c r="C193" s="137">
        <f>+COUNTIFS(GENERAL!$B:$B,'datos por personal'!C$1,GENERAL!$H:$H,'datos por personal'!$B193)</f>
        <v>0</v>
      </c>
      <c r="D193" s="137">
        <f>+COUNTIFS(GENERAL!$B:$B,'datos por personal'!D$1,GENERAL!$H:$H,'datos por personal'!$B193)</f>
        <v>0</v>
      </c>
      <c r="E193" s="137">
        <f>+COUNTIFS(GENERAL!$B:$B,'datos por personal'!E$1,GENERAL!$H:$H,'datos por personal'!$B193)</f>
        <v>0</v>
      </c>
      <c r="F193" s="137">
        <f>+COUNTIFS(GENERAL!$B:$B,'datos por personal'!F$1,GENERAL!$H:$H,'datos por personal'!$B193)</f>
        <v>1</v>
      </c>
      <c r="G193" s="137">
        <f>+COUNTIFS(GENERAL!$B:$B,'datos por personal'!G$1,GENERAL!$H:$H,'datos por personal'!$B193)</f>
        <v>0</v>
      </c>
      <c r="H193" s="137">
        <f>+COUNTIFS(GENERAL!$B:$B,'datos por personal'!H$1,GENERAL!$H:$H,'datos por personal'!$B193)</f>
        <v>1</v>
      </c>
      <c r="J193" s="135">
        <f t="shared" si="2"/>
        <v>2</v>
      </c>
    </row>
    <row r="194" spans="1:10">
      <c r="A194" s="162" t="s">
        <v>1874</v>
      </c>
      <c r="B194" s="163" t="s">
        <v>1091</v>
      </c>
      <c r="C194" s="137">
        <f>+COUNTIFS(GENERAL!$B:$B,'datos por personal'!C$1,GENERAL!$H:$H,'datos por personal'!$B194)</f>
        <v>0</v>
      </c>
      <c r="D194" s="137">
        <f>+COUNTIFS(GENERAL!$B:$B,'datos por personal'!D$1,GENERAL!$H:$H,'datos por personal'!$B194)</f>
        <v>0</v>
      </c>
      <c r="E194" s="137">
        <f>+COUNTIFS(GENERAL!$B:$B,'datos por personal'!E$1,GENERAL!$H:$H,'datos por personal'!$B194)</f>
        <v>0</v>
      </c>
      <c r="F194" s="137">
        <f>+COUNTIFS(GENERAL!$B:$B,'datos por personal'!F$1,GENERAL!$H:$H,'datos por personal'!$B194)</f>
        <v>1</v>
      </c>
      <c r="G194" s="137">
        <f>+COUNTIFS(GENERAL!$B:$B,'datos por personal'!G$1,GENERAL!$H:$H,'datos por personal'!$B194)</f>
        <v>3</v>
      </c>
      <c r="H194" s="137">
        <f>+COUNTIFS(GENERAL!$B:$B,'datos por personal'!H$1,GENERAL!$H:$H,'datos por personal'!$B194)</f>
        <v>0</v>
      </c>
      <c r="J194" s="135">
        <f t="shared" si="2"/>
        <v>4</v>
      </c>
    </row>
    <row r="195" spans="1:10">
      <c r="A195" s="162" t="s">
        <v>1874</v>
      </c>
      <c r="B195" s="163" t="s">
        <v>1103</v>
      </c>
      <c r="C195" s="137">
        <f>+COUNTIFS(GENERAL!$B:$B,'datos por personal'!C$1,GENERAL!$H:$H,'datos por personal'!$B195)</f>
        <v>0</v>
      </c>
      <c r="D195" s="137">
        <f>+COUNTIFS(GENERAL!$B:$B,'datos por personal'!D$1,GENERAL!$H:$H,'datos por personal'!$B195)</f>
        <v>0</v>
      </c>
      <c r="E195" s="137">
        <f>+COUNTIFS(GENERAL!$B:$B,'datos por personal'!E$1,GENERAL!$H:$H,'datos por personal'!$B195)</f>
        <v>0</v>
      </c>
      <c r="F195" s="137">
        <f>+COUNTIFS(GENERAL!$B:$B,'datos por personal'!F$1,GENERAL!$H:$H,'datos por personal'!$B195)</f>
        <v>1</v>
      </c>
      <c r="G195" s="137">
        <f>+COUNTIFS(GENERAL!$B:$B,'datos por personal'!G$1,GENERAL!$H:$H,'datos por personal'!$B195)</f>
        <v>0</v>
      </c>
      <c r="H195" s="137">
        <f>+COUNTIFS(GENERAL!$B:$B,'datos por personal'!H$1,GENERAL!$H:$H,'datos por personal'!$B195)</f>
        <v>0</v>
      </c>
      <c r="J195" s="135">
        <f t="shared" ref="J195:J222" si="3">+SUM(C195:H195)</f>
        <v>1</v>
      </c>
    </row>
    <row r="196" spans="1:10">
      <c r="A196" s="162" t="s">
        <v>1874</v>
      </c>
      <c r="B196" s="163" t="s">
        <v>1109</v>
      </c>
      <c r="C196" s="137">
        <f>+COUNTIFS(GENERAL!$B:$B,'datos por personal'!C$1,GENERAL!$H:$H,'datos por personal'!$B196)</f>
        <v>0</v>
      </c>
      <c r="D196" s="137">
        <f>+COUNTIFS(GENERAL!$B:$B,'datos por personal'!D$1,GENERAL!$H:$H,'datos por personal'!$B196)</f>
        <v>0</v>
      </c>
      <c r="E196" s="137">
        <f>+COUNTIFS(GENERAL!$B:$B,'datos por personal'!E$1,GENERAL!$H:$H,'datos por personal'!$B196)</f>
        <v>0</v>
      </c>
      <c r="F196" s="137">
        <f>+COUNTIFS(GENERAL!$B:$B,'datos por personal'!F$1,GENERAL!$H:$H,'datos por personal'!$B196)</f>
        <v>1</v>
      </c>
      <c r="G196" s="137">
        <f>+COUNTIFS(GENERAL!$B:$B,'datos por personal'!G$1,GENERAL!$H:$H,'datos por personal'!$B196)</f>
        <v>1</v>
      </c>
      <c r="H196" s="137">
        <f>+COUNTIFS(GENERAL!$B:$B,'datos por personal'!H$1,GENERAL!$H:$H,'datos por personal'!$B196)</f>
        <v>0</v>
      </c>
      <c r="J196" s="135">
        <f t="shared" si="3"/>
        <v>2</v>
      </c>
    </row>
    <row r="197" spans="1:10">
      <c r="A197" s="162" t="s">
        <v>1874</v>
      </c>
      <c r="B197" s="163" t="s">
        <v>1128</v>
      </c>
      <c r="C197" s="137">
        <f>+COUNTIFS(GENERAL!$B:$B,'datos por personal'!C$1,GENERAL!$H:$H,'datos por personal'!$B197)</f>
        <v>0</v>
      </c>
      <c r="D197" s="137">
        <f>+COUNTIFS(GENERAL!$B:$B,'datos por personal'!D$1,GENERAL!$H:$H,'datos por personal'!$B197)</f>
        <v>0</v>
      </c>
      <c r="E197" s="137">
        <f>+COUNTIFS(GENERAL!$B:$B,'datos por personal'!E$1,GENERAL!$H:$H,'datos por personal'!$B197)</f>
        <v>0</v>
      </c>
      <c r="F197" s="137">
        <f>+COUNTIFS(GENERAL!$B:$B,'datos por personal'!F$1,GENERAL!$H:$H,'datos por personal'!$B197)</f>
        <v>2</v>
      </c>
      <c r="G197" s="137">
        <f>+COUNTIFS(GENERAL!$B:$B,'datos por personal'!G$1,GENERAL!$H:$H,'datos por personal'!$B197)</f>
        <v>1</v>
      </c>
      <c r="H197" s="137">
        <f>+COUNTIFS(GENERAL!$B:$B,'datos por personal'!H$1,GENERAL!$H:$H,'datos por personal'!$B197)</f>
        <v>0</v>
      </c>
      <c r="J197" s="135">
        <f t="shared" si="3"/>
        <v>3</v>
      </c>
    </row>
    <row r="198" spans="1:10">
      <c r="A198" s="162" t="s">
        <v>1874</v>
      </c>
      <c r="B198" s="163" t="s">
        <v>1140</v>
      </c>
      <c r="C198" s="137">
        <f>+COUNTIFS(GENERAL!$B:$B,'datos por personal'!C$1,GENERAL!$H:$H,'datos por personal'!$B198)</f>
        <v>0</v>
      </c>
      <c r="D198" s="137">
        <f>+COUNTIFS(GENERAL!$B:$B,'datos por personal'!D$1,GENERAL!$H:$H,'datos por personal'!$B198)</f>
        <v>0</v>
      </c>
      <c r="E198" s="137">
        <f>+COUNTIFS(GENERAL!$B:$B,'datos por personal'!E$1,GENERAL!$H:$H,'datos por personal'!$B198)</f>
        <v>0</v>
      </c>
      <c r="F198" s="137">
        <f>+COUNTIFS(GENERAL!$B:$B,'datos por personal'!F$1,GENERAL!$H:$H,'datos por personal'!$B198)</f>
        <v>1</v>
      </c>
      <c r="G198" s="137">
        <f>+COUNTIFS(GENERAL!$B:$B,'datos por personal'!G$1,GENERAL!$H:$H,'datos por personal'!$B198)</f>
        <v>0</v>
      </c>
      <c r="H198" s="137">
        <f>+COUNTIFS(GENERAL!$B:$B,'datos por personal'!H$1,GENERAL!$H:$H,'datos por personal'!$B198)</f>
        <v>0</v>
      </c>
      <c r="J198" s="135">
        <f t="shared" si="3"/>
        <v>1</v>
      </c>
    </row>
    <row r="199" spans="1:10">
      <c r="A199" s="162" t="s">
        <v>1874</v>
      </c>
      <c r="B199" s="163" t="s">
        <v>1148</v>
      </c>
      <c r="C199" s="137">
        <f>+COUNTIFS(GENERAL!$B:$B,'datos por personal'!C$1,GENERAL!$H:$H,'datos por personal'!$B199)</f>
        <v>0</v>
      </c>
      <c r="D199" s="137">
        <f>+COUNTIFS(GENERAL!$B:$B,'datos por personal'!D$1,GENERAL!$H:$H,'datos por personal'!$B199)</f>
        <v>0</v>
      </c>
      <c r="E199" s="137">
        <f>+COUNTIFS(GENERAL!$B:$B,'datos por personal'!E$1,GENERAL!$H:$H,'datos por personal'!$B199)</f>
        <v>0</v>
      </c>
      <c r="F199" s="137">
        <f>+COUNTIFS(GENERAL!$B:$B,'datos por personal'!F$1,GENERAL!$H:$H,'datos por personal'!$B199)</f>
        <v>1</v>
      </c>
      <c r="G199" s="137">
        <f>+COUNTIFS(GENERAL!$B:$B,'datos por personal'!G$1,GENERAL!$H:$H,'datos por personal'!$B199)</f>
        <v>0</v>
      </c>
      <c r="H199" s="137">
        <f>+COUNTIFS(GENERAL!$B:$B,'datos por personal'!H$1,GENERAL!$H:$H,'datos por personal'!$B199)</f>
        <v>0</v>
      </c>
      <c r="J199" s="135">
        <f t="shared" si="3"/>
        <v>1</v>
      </c>
    </row>
    <row r="200" spans="1:10">
      <c r="A200" s="162" t="s">
        <v>1874</v>
      </c>
      <c r="B200" s="163" t="s">
        <v>1156</v>
      </c>
      <c r="C200" s="137">
        <f>+COUNTIFS(GENERAL!$B:$B,'datos por personal'!C$1,GENERAL!$H:$H,'datos por personal'!$B200)</f>
        <v>0</v>
      </c>
      <c r="D200" s="137">
        <f>+COUNTIFS(GENERAL!$B:$B,'datos por personal'!D$1,GENERAL!$H:$H,'datos por personal'!$B200)</f>
        <v>0</v>
      </c>
      <c r="E200" s="137">
        <f>+COUNTIFS(GENERAL!$B:$B,'datos por personal'!E$1,GENERAL!$H:$H,'datos por personal'!$B200)</f>
        <v>0</v>
      </c>
      <c r="F200" s="137">
        <f>+COUNTIFS(GENERAL!$B:$B,'datos por personal'!F$1,GENERAL!$H:$H,'datos por personal'!$B200)</f>
        <v>1</v>
      </c>
      <c r="G200" s="137">
        <f>+COUNTIFS(GENERAL!$B:$B,'datos por personal'!G$1,GENERAL!$H:$H,'datos por personal'!$B200)</f>
        <v>1</v>
      </c>
      <c r="H200" s="137">
        <f>+COUNTIFS(GENERAL!$B:$B,'datos por personal'!H$1,GENERAL!$H:$H,'datos por personal'!$B200)</f>
        <v>0</v>
      </c>
      <c r="J200" s="135">
        <f t="shared" si="3"/>
        <v>2</v>
      </c>
    </row>
    <row r="201" spans="1:10">
      <c r="A201" s="162" t="s">
        <v>1874</v>
      </c>
      <c r="B201" s="163" t="s">
        <v>1162</v>
      </c>
      <c r="C201" s="137">
        <f>+COUNTIFS(GENERAL!$B:$B,'datos por personal'!C$1,GENERAL!$H:$H,'datos por personal'!$B201)</f>
        <v>0</v>
      </c>
      <c r="D201" s="137">
        <f>+COUNTIFS(GENERAL!$B:$B,'datos por personal'!D$1,GENERAL!$H:$H,'datos por personal'!$B201)</f>
        <v>0</v>
      </c>
      <c r="E201" s="137">
        <f>+COUNTIFS(GENERAL!$B:$B,'datos por personal'!E$1,GENERAL!$H:$H,'datos por personal'!$B201)</f>
        <v>0</v>
      </c>
      <c r="F201" s="137">
        <f>+COUNTIFS(GENERAL!$B:$B,'datos por personal'!F$1,GENERAL!$H:$H,'datos por personal'!$B201)</f>
        <v>1</v>
      </c>
      <c r="G201" s="137">
        <f>+COUNTIFS(GENERAL!$B:$B,'datos por personal'!G$1,GENERAL!$H:$H,'datos por personal'!$B201)</f>
        <v>0</v>
      </c>
      <c r="H201" s="137">
        <f>+COUNTIFS(GENERAL!$B:$B,'datos por personal'!H$1,GENERAL!$H:$H,'datos por personal'!$B201)</f>
        <v>0</v>
      </c>
      <c r="J201" s="135">
        <f t="shared" si="3"/>
        <v>1</v>
      </c>
    </row>
    <row r="202" spans="1:10">
      <c r="A202" s="162" t="s">
        <v>1874</v>
      </c>
      <c r="B202" s="163" t="s">
        <v>1195</v>
      </c>
      <c r="C202" s="137">
        <f>+COUNTIFS(GENERAL!$B:$B,'datos por personal'!C$1,GENERAL!$H:$H,'datos por personal'!$B202)</f>
        <v>0</v>
      </c>
      <c r="D202" s="137">
        <f>+COUNTIFS(GENERAL!$B:$B,'datos por personal'!D$1,GENERAL!$H:$H,'datos por personal'!$B202)</f>
        <v>0</v>
      </c>
      <c r="E202" s="137">
        <f>+COUNTIFS(GENERAL!$B:$B,'datos por personal'!E$1,GENERAL!$H:$H,'datos por personal'!$B202)</f>
        <v>0</v>
      </c>
      <c r="F202" s="137">
        <f>+COUNTIFS(GENERAL!$B:$B,'datos por personal'!F$1,GENERAL!$H:$H,'datos por personal'!$B202)</f>
        <v>1</v>
      </c>
      <c r="G202" s="137">
        <f>+COUNTIFS(GENERAL!$B:$B,'datos por personal'!G$1,GENERAL!$H:$H,'datos por personal'!$B202)</f>
        <v>0</v>
      </c>
      <c r="H202" s="137">
        <f>+COUNTIFS(GENERAL!$B:$B,'datos por personal'!H$1,GENERAL!$H:$H,'datos por personal'!$B202)</f>
        <v>0</v>
      </c>
      <c r="J202" s="135">
        <f t="shared" si="3"/>
        <v>1</v>
      </c>
    </row>
    <row r="203" spans="1:10">
      <c r="A203" s="162" t="s">
        <v>1874</v>
      </c>
      <c r="B203" s="163" t="s">
        <v>1261</v>
      </c>
      <c r="C203" s="137">
        <f>+COUNTIFS(GENERAL!$B:$B,'datos por personal'!C$1,GENERAL!$H:$H,'datos por personal'!$B203)</f>
        <v>0</v>
      </c>
      <c r="D203" s="137">
        <f>+COUNTIFS(GENERAL!$B:$B,'datos por personal'!D$1,GENERAL!$H:$H,'datos por personal'!$B203)</f>
        <v>0</v>
      </c>
      <c r="E203" s="137">
        <f>+COUNTIFS(GENERAL!$B:$B,'datos por personal'!E$1,GENERAL!$H:$H,'datos por personal'!$B203)</f>
        <v>0</v>
      </c>
      <c r="F203" s="137">
        <f>+COUNTIFS(GENERAL!$B:$B,'datos por personal'!F$1,GENERAL!$H:$H,'datos por personal'!$B203)</f>
        <v>1</v>
      </c>
      <c r="G203" s="137">
        <f>+COUNTIFS(GENERAL!$B:$B,'datos por personal'!G$1,GENERAL!$H:$H,'datos por personal'!$B203)</f>
        <v>0</v>
      </c>
      <c r="H203" s="137">
        <f>+COUNTIFS(GENERAL!$B:$B,'datos por personal'!H$1,GENERAL!$H:$H,'datos por personal'!$B203)</f>
        <v>0</v>
      </c>
      <c r="J203" s="135">
        <f t="shared" si="3"/>
        <v>1</v>
      </c>
    </row>
    <row r="204" spans="1:10">
      <c r="A204" s="162" t="s">
        <v>1874</v>
      </c>
      <c r="B204" s="163" t="s">
        <v>1288</v>
      </c>
      <c r="C204" s="137">
        <f>+COUNTIFS(GENERAL!$B:$B,'datos por personal'!C$1,GENERAL!$H:$H,'datos por personal'!$B204)</f>
        <v>0</v>
      </c>
      <c r="D204" s="137">
        <f>+COUNTIFS(GENERAL!$B:$B,'datos por personal'!D$1,GENERAL!$H:$H,'datos por personal'!$B204)</f>
        <v>0</v>
      </c>
      <c r="E204" s="137">
        <f>+COUNTIFS(GENERAL!$B:$B,'datos por personal'!E$1,GENERAL!$H:$H,'datos por personal'!$B204)</f>
        <v>0</v>
      </c>
      <c r="F204" s="137">
        <f>+COUNTIFS(GENERAL!$B:$B,'datos por personal'!F$1,GENERAL!$H:$H,'datos por personal'!$B204)</f>
        <v>0</v>
      </c>
      <c r="G204" s="137">
        <f>+COUNTIFS(GENERAL!$B:$B,'datos por personal'!G$1,GENERAL!$H:$H,'datos por personal'!$B204)</f>
        <v>3</v>
      </c>
      <c r="H204" s="137">
        <f>+COUNTIFS(GENERAL!$B:$B,'datos por personal'!H$1,GENERAL!$H:$H,'datos por personal'!$B204)</f>
        <v>0</v>
      </c>
      <c r="J204" s="135">
        <f t="shared" si="3"/>
        <v>3</v>
      </c>
    </row>
    <row r="205" spans="1:10">
      <c r="A205" s="162" t="s">
        <v>1874</v>
      </c>
      <c r="B205" s="163" t="s">
        <v>1295</v>
      </c>
      <c r="C205" s="137">
        <f>+COUNTIFS(GENERAL!$B:$B,'datos por personal'!C$1,GENERAL!$H:$H,'datos por personal'!$B205)</f>
        <v>0</v>
      </c>
      <c r="D205" s="137">
        <f>+COUNTIFS(GENERAL!$B:$B,'datos por personal'!D$1,GENERAL!$H:$H,'datos por personal'!$B205)</f>
        <v>0</v>
      </c>
      <c r="E205" s="137">
        <f>+COUNTIFS(GENERAL!$B:$B,'datos por personal'!E$1,GENERAL!$H:$H,'datos por personal'!$B205)</f>
        <v>0</v>
      </c>
      <c r="F205" s="137">
        <f>+COUNTIFS(GENERAL!$B:$B,'datos por personal'!F$1,GENERAL!$H:$H,'datos por personal'!$B205)</f>
        <v>0</v>
      </c>
      <c r="G205" s="137">
        <f>+COUNTIFS(GENERAL!$B:$B,'datos por personal'!G$1,GENERAL!$H:$H,'datos por personal'!$B205)</f>
        <v>2</v>
      </c>
      <c r="H205" s="137">
        <f>+COUNTIFS(GENERAL!$B:$B,'datos por personal'!H$1,GENERAL!$H:$H,'datos por personal'!$B205)</f>
        <v>3</v>
      </c>
      <c r="J205" s="135">
        <f t="shared" si="3"/>
        <v>5</v>
      </c>
    </row>
    <row r="206" spans="1:10">
      <c r="A206" s="162" t="s">
        <v>1874</v>
      </c>
      <c r="B206" s="163" t="s">
        <v>1307</v>
      </c>
      <c r="C206" s="137">
        <f>+COUNTIFS(GENERAL!$B:$B,'datos por personal'!C$1,GENERAL!$H:$H,'datos por personal'!$B206)</f>
        <v>0</v>
      </c>
      <c r="D206" s="137">
        <f>+COUNTIFS(GENERAL!$B:$B,'datos por personal'!D$1,GENERAL!$H:$H,'datos por personal'!$B206)</f>
        <v>0</v>
      </c>
      <c r="E206" s="137">
        <f>+COUNTIFS(GENERAL!$B:$B,'datos por personal'!E$1,GENERAL!$H:$H,'datos por personal'!$B206)</f>
        <v>0</v>
      </c>
      <c r="F206" s="137">
        <f>+COUNTIFS(GENERAL!$B:$B,'datos por personal'!F$1,GENERAL!$H:$H,'datos por personal'!$B206)</f>
        <v>0</v>
      </c>
      <c r="G206" s="137">
        <f>+COUNTIFS(GENERAL!$B:$B,'datos por personal'!G$1,GENERAL!$H:$H,'datos por personal'!$B206)</f>
        <v>1</v>
      </c>
      <c r="H206" s="137">
        <f>+COUNTIFS(GENERAL!$B:$B,'datos por personal'!H$1,GENERAL!$H:$H,'datos por personal'!$B206)</f>
        <v>0</v>
      </c>
      <c r="J206" s="135">
        <f t="shared" si="3"/>
        <v>1</v>
      </c>
    </row>
    <row r="207" spans="1:10">
      <c r="A207" s="162" t="s">
        <v>1874</v>
      </c>
      <c r="B207" s="163" t="s">
        <v>1332</v>
      </c>
      <c r="C207" s="137">
        <f>+COUNTIFS(GENERAL!$B:$B,'datos por personal'!C$1,GENERAL!$H:$H,'datos por personal'!$B207)</f>
        <v>0</v>
      </c>
      <c r="D207" s="137">
        <f>+COUNTIFS(GENERAL!$B:$B,'datos por personal'!D$1,GENERAL!$H:$H,'datos por personal'!$B207)</f>
        <v>0</v>
      </c>
      <c r="E207" s="137">
        <f>+COUNTIFS(GENERAL!$B:$B,'datos por personal'!E$1,GENERAL!$H:$H,'datos por personal'!$B207)</f>
        <v>0</v>
      </c>
      <c r="F207" s="137">
        <f>+COUNTIFS(GENERAL!$B:$B,'datos por personal'!F$1,GENERAL!$H:$H,'datos por personal'!$B207)</f>
        <v>0</v>
      </c>
      <c r="G207" s="137">
        <f>+COUNTIFS(GENERAL!$B:$B,'datos por personal'!G$1,GENERAL!$H:$H,'datos por personal'!$B207)</f>
        <v>1</v>
      </c>
      <c r="H207" s="137">
        <f>+COUNTIFS(GENERAL!$B:$B,'datos por personal'!H$1,GENERAL!$H:$H,'datos por personal'!$B207)</f>
        <v>1</v>
      </c>
      <c r="J207" s="135">
        <f t="shared" si="3"/>
        <v>2</v>
      </c>
    </row>
    <row r="208" spans="1:10">
      <c r="A208" s="162" t="s">
        <v>1874</v>
      </c>
      <c r="B208" s="163" t="s">
        <v>1343</v>
      </c>
      <c r="C208" s="137">
        <f>+COUNTIFS(GENERAL!$B:$B,'datos por personal'!C$1,GENERAL!$H:$H,'datos por personal'!$B208)</f>
        <v>0</v>
      </c>
      <c r="D208" s="137">
        <f>+COUNTIFS(GENERAL!$B:$B,'datos por personal'!D$1,GENERAL!$H:$H,'datos por personal'!$B208)</f>
        <v>0</v>
      </c>
      <c r="E208" s="137">
        <f>+COUNTIFS(GENERAL!$B:$B,'datos por personal'!E$1,GENERAL!$H:$H,'datos por personal'!$B208)</f>
        <v>0</v>
      </c>
      <c r="F208" s="137">
        <f>+COUNTIFS(GENERAL!$B:$B,'datos por personal'!F$1,GENERAL!$H:$H,'datos por personal'!$B208)</f>
        <v>0</v>
      </c>
      <c r="G208" s="137">
        <f>+COUNTIFS(GENERAL!$B:$B,'datos por personal'!G$1,GENERAL!$H:$H,'datos por personal'!$B208)</f>
        <v>2</v>
      </c>
      <c r="H208" s="137">
        <f>+COUNTIFS(GENERAL!$B:$B,'datos por personal'!H$1,GENERAL!$H:$H,'datos por personal'!$B208)</f>
        <v>0</v>
      </c>
      <c r="J208" s="135">
        <f t="shared" si="3"/>
        <v>2</v>
      </c>
    </row>
    <row r="209" spans="1:10">
      <c r="A209" s="162" t="s">
        <v>1874</v>
      </c>
      <c r="B209" s="163" t="s">
        <v>1357</v>
      </c>
      <c r="C209" s="137">
        <f>+COUNTIFS(GENERAL!$B:$B,'datos por personal'!C$1,GENERAL!$H:$H,'datos por personal'!$B209)</f>
        <v>0</v>
      </c>
      <c r="D209" s="137">
        <f>+COUNTIFS(GENERAL!$B:$B,'datos por personal'!D$1,GENERAL!$H:$H,'datos por personal'!$B209)</f>
        <v>0</v>
      </c>
      <c r="E209" s="137">
        <f>+COUNTIFS(GENERAL!$B:$B,'datos por personal'!E$1,GENERAL!$H:$H,'datos por personal'!$B209)</f>
        <v>0</v>
      </c>
      <c r="F209" s="137">
        <f>+COUNTIFS(GENERAL!$B:$B,'datos por personal'!F$1,GENERAL!$H:$H,'datos por personal'!$B209)</f>
        <v>0</v>
      </c>
      <c r="G209" s="137">
        <f>+COUNTIFS(GENERAL!$B:$B,'datos por personal'!G$1,GENERAL!$H:$H,'datos por personal'!$B209)</f>
        <v>1</v>
      </c>
      <c r="H209" s="137">
        <f>+COUNTIFS(GENERAL!$B:$B,'datos por personal'!H$1,GENERAL!$H:$H,'datos por personal'!$B209)</f>
        <v>2</v>
      </c>
      <c r="J209" s="135">
        <f t="shared" si="3"/>
        <v>3</v>
      </c>
    </row>
    <row r="210" spans="1:10">
      <c r="A210" s="162" t="s">
        <v>1874</v>
      </c>
      <c r="B210" s="163" t="s">
        <v>1362</v>
      </c>
      <c r="C210" s="137">
        <f>+COUNTIFS(GENERAL!$B:$B,'datos por personal'!C$1,GENERAL!$H:$H,'datos por personal'!$B210)</f>
        <v>0</v>
      </c>
      <c r="D210" s="137">
        <f>+COUNTIFS(GENERAL!$B:$B,'datos por personal'!D$1,GENERAL!$H:$H,'datos por personal'!$B210)</f>
        <v>0</v>
      </c>
      <c r="E210" s="137">
        <f>+COUNTIFS(GENERAL!$B:$B,'datos por personal'!E$1,GENERAL!$H:$H,'datos por personal'!$B210)</f>
        <v>0</v>
      </c>
      <c r="F210" s="137">
        <f>+COUNTIFS(GENERAL!$B:$B,'datos por personal'!F$1,GENERAL!$H:$H,'datos por personal'!$B210)</f>
        <v>0</v>
      </c>
      <c r="G210" s="137">
        <f>+COUNTIFS(GENERAL!$B:$B,'datos por personal'!G$1,GENERAL!$H:$H,'datos por personal'!$B210)</f>
        <v>2</v>
      </c>
      <c r="H210" s="137">
        <f>+COUNTIFS(GENERAL!$B:$B,'datos por personal'!H$1,GENERAL!$H:$H,'datos por personal'!$B210)</f>
        <v>2</v>
      </c>
      <c r="J210" s="135">
        <f t="shared" si="3"/>
        <v>4</v>
      </c>
    </row>
    <row r="211" spans="1:10">
      <c r="A211" s="162" t="s">
        <v>1874</v>
      </c>
      <c r="B211" s="163" t="s">
        <v>1395</v>
      </c>
      <c r="C211" s="137">
        <f>+COUNTIFS(GENERAL!$B:$B,'datos por personal'!C$1,GENERAL!$H:$H,'datos por personal'!$B211)</f>
        <v>0</v>
      </c>
      <c r="D211" s="137">
        <f>+COUNTIFS(GENERAL!$B:$B,'datos por personal'!D$1,GENERAL!$H:$H,'datos por personal'!$B211)</f>
        <v>0</v>
      </c>
      <c r="E211" s="137">
        <f>+COUNTIFS(GENERAL!$B:$B,'datos por personal'!E$1,GENERAL!$H:$H,'datos por personal'!$B211)</f>
        <v>0</v>
      </c>
      <c r="F211" s="137">
        <f>+COUNTIFS(GENERAL!$B:$B,'datos por personal'!F$1,GENERAL!$H:$H,'datos por personal'!$B211)</f>
        <v>0</v>
      </c>
      <c r="G211" s="137">
        <f>+COUNTIFS(GENERAL!$B:$B,'datos por personal'!G$1,GENERAL!$H:$H,'datos por personal'!$B211)</f>
        <v>1</v>
      </c>
      <c r="H211" s="137">
        <f>+COUNTIFS(GENERAL!$B:$B,'datos por personal'!H$1,GENERAL!$H:$H,'datos por personal'!$B211)</f>
        <v>0</v>
      </c>
      <c r="J211" s="135">
        <f t="shared" si="3"/>
        <v>1</v>
      </c>
    </row>
    <row r="212" spans="1:10">
      <c r="A212" s="162" t="s">
        <v>1874</v>
      </c>
      <c r="B212" s="163" t="s">
        <v>1406</v>
      </c>
      <c r="C212" s="137">
        <f>+COUNTIFS(GENERAL!$B:$B,'datos por personal'!C$1,GENERAL!$H:$H,'datos por personal'!$B212)</f>
        <v>0</v>
      </c>
      <c r="D212" s="137">
        <f>+COUNTIFS(GENERAL!$B:$B,'datos por personal'!D$1,GENERAL!$H:$H,'datos por personal'!$B212)</f>
        <v>0</v>
      </c>
      <c r="E212" s="137">
        <f>+COUNTIFS(GENERAL!$B:$B,'datos por personal'!E$1,GENERAL!$H:$H,'datos por personal'!$B212)</f>
        <v>0</v>
      </c>
      <c r="F212" s="137">
        <f>+COUNTIFS(GENERAL!$B:$B,'datos por personal'!F$1,GENERAL!$H:$H,'datos por personal'!$B212)</f>
        <v>0</v>
      </c>
      <c r="G212" s="137">
        <f>+COUNTIFS(GENERAL!$B:$B,'datos por personal'!G$1,GENERAL!$H:$H,'datos por personal'!$B212)</f>
        <v>2</v>
      </c>
      <c r="H212" s="137">
        <f>+COUNTIFS(GENERAL!$B:$B,'datos por personal'!H$1,GENERAL!$H:$H,'datos por personal'!$B212)</f>
        <v>0</v>
      </c>
      <c r="J212" s="135">
        <f t="shared" si="3"/>
        <v>2</v>
      </c>
    </row>
    <row r="213" spans="1:10">
      <c r="A213" s="162" t="s">
        <v>1874</v>
      </c>
      <c r="B213" s="163" t="s">
        <v>1412</v>
      </c>
      <c r="C213" s="137">
        <f>+COUNTIFS(GENERAL!$B:$B,'datos por personal'!C$1,GENERAL!$H:$H,'datos por personal'!$B213)</f>
        <v>0</v>
      </c>
      <c r="D213" s="137">
        <f>+COUNTIFS(GENERAL!$B:$B,'datos por personal'!D$1,GENERAL!$H:$H,'datos por personal'!$B213)</f>
        <v>0</v>
      </c>
      <c r="E213" s="137">
        <f>+COUNTIFS(GENERAL!$B:$B,'datos por personal'!E$1,GENERAL!$H:$H,'datos por personal'!$B213)</f>
        <v>0</v>
      </c>
      <c r="F213" s="137">
        <f>+COUNTIFS(GENERAL!$B:$B,'datos por personal'!F$1,GENERAL!$H:$H,'datos por personal'!$B213)</f>
        <v>0</v>
      </c>
      <c r="G213" s="137">
        <f>+COUNTIFS(GENERAL!$B:$B,'datos por personal'!G$1,GENERAL!$H:$H,'datos por personal'!$B213)</f>
        <v>1</v>
      </c>
      <c r="H213" s="137">
        <f>+COUNTIFS(GENERAL!$B:$B,'datos por personal'!H$1,GENERAL!$H:$H,'datos por personal'!$B213)</f>
        <v>0</v>
      </c>
      <c r="J213" s="135">
        <f t="shared" si="3"/>
        <v>1</v>
      </c>
    </row>
    <row r="214" spans="1:10">
      <c r="A214" s="162" t="s">
        <v>1874</v>
      </c>
      <c r="B214" s="163" t="s">
        <v>1435</v>
      </c>
      <c r="C214" s="137">
        <f>+COUNTIFS(GENERAL!$B:$B,'datos por personal'!C$1,GENERAL!$H:$H,'datos por personal'!$B214)</f>
        <v>0</v>
      </c>
      <c r="D214" s="137">
        <f>+COUNTIFS(GENERAL!$B:$B,'datos por personal'!D$1,GENERAL!$H:$H,'datos por personal'!$B214)</f>
        <v>0</v>
      </c>
      <c r="E214" s="137">
        <f>+COUNTIFS(GENERAL!$B:$B,'datos por personal'!E$1,GENERAL!$H:$H,'datos por personal'!$B214)</f>
        <v>0</v>
      </c>
      <c r="F214" s="137">
        <f>+COUNTIFS(GENERAL!$B:$B,'datos por personal'!F$1,GENERAL!$H:$H,'datos por personal'!$B214)</f>
        <v>0</v>
      </c>
      <c r="G214" s="137">
        <f>+COUNTIFS(GENERAL!$B:$B,'datos por personal'!G$1,GENERAL!$H:$H,'datos por personal'!$B214)</f>
        <v>1</v>
      </c>
      <c r="H214" s="137">
        <f>+COUNTIFS(GENERAL!$B:$B,'datos por personal'!H$1,GENERAL!$H:$H,'datos por personal'!$B214)</f>
        <v>0</v>
      </c>
      <c r="J214" s="135">
        <f t="shared" si="3"/>
        <v>1</v>
      </c>
    </row>
    <row r="215" spans="1:10">
      <c r="A215" s="162" t="s">
        <v>1874</v>
      </c>
      <c r="B215" s="163" t="s">
        <v>1446</v>
      </c>
      <c r="C215" s="137">
        <f>+COUNTIFS(GENERAL!$B:$B,'datos por personal'!C$1,GENERAL!$H:$H,'datos por personal'!$B215)</f>
        <v>0</v>
      </c>
      <c r="D215" s="137">
        <f>+COUNTIFS(GENERAL!$B:$B,'datos por personal'!D$1,GENERAL!$H:$H,'datos por personal'!$B215)</f>
        <v>0</v>
      </c>
      <c r="E215" s="137">
        <f>+COUNTIFS(GENERAL!$B:$B,'datos por personal'!E$1,GENERAL!$H:$H,'datos por personal'!$B215)</f>
        <v>0</v>
      </c>
      <c r="F215" s="137">
        <f>+COUNTIFS(GENERAL!$B:$B,'datos por personal'!F$1,GENERAL!$H:$H,'datos por personal'!$B215)</f>
        <v>0</v>
      </c>
      <c r="G215" s="137">
        <f>+COUNTIFS(GENERAL!$B:$B,'datos por personal'!G$1,GENERAL!$H:$H,'datos por personal'!$B215)</f>
        <v>1</v>
      </c>
      <c r="H215" s="137">
        <f>+COUNTIFS(GENERAL!$B:$B,'datos por personal'!H$1,GENERAL!$H:$H,'datos por personal'!$B215)</f>
        <v>0</v>
      </c>
      <c r="J215" s="135">
        <f t="shared" si="3"/>
        <v>1</v>
      </c>
    </row>
    <row r="216" spans="1:10">
      <c r="A216" s="162" t="s">
        <v>1874</v>
      </c>
      <c r="B216" s="163" t="s">
        <v>1453</v>
      </c>
      <c r="C216" s="137">
        <f>+COUNTIFS(GENERAL!$B:$B,'datos por personal'!C$1,GENERAL!$H:$H,'datos por personal'!$B216)</f>
        <v>0</v>
      </c>
      <c r="D216" s="137">
        <f>+COUNTIFS(GENERAL!$B:$B,'datos por personal'!D$1,GENERAL!$H:$H,'datos por personal'!$B216)</f>
        <v>0</v>
      </c>
      <c r="E216" s="137">
        <f>+COUNTIFS(GENERAL!$B:$B,'datos por personal'!E$1,GENERAL!$H:$H,'datos por personal'!$B216)</f>
        <v>0</v>
      </c>
      <c r="F216" s="137">
        <f>+COUNTIFS(GENERAL!$B:$B,'datos por personal'!F$1,GENERAL!$H:$H,'datos por personal'!$B216)</f>
        <v>0</v>
      </c>
      <c r="G216" s="137">
        <f>+COUNTIFS(GENERAL!$B:$B,'datos por personal'!G$1,GENERAL!$H:$H,'datos por personal'!$B216)</f>
        <v>1</v>
      </c>
      <c r="H216" s="137">
        <f>+COUNTIFS(GENERAL!$B:$B,'datos por personal'!H$1,GENERAL!$H:$H,'datos por personal'!$B216)</f>
        <v>0</v>
      </c>
      <c r="J216" s="135">
        <f t="shared" si="3"/>
        <v>1</v>
      </c>
    </row>
    <row r="217" spans="1:10">
      <c r="A217" s="162" t="s">
        <v>1874</v>
      </c>
      <c r="B217" s="163" t="s">
        <v>1459</v>
      </c>
      <c r="C217" s="137">
        <f>+COUNTIFS(GENERAL!$B:$B,'datos por personal'!C$1,GENERAL!$H:$H,'datos por personal'!$B217)</f>
        <v>0</v>
      </c>
      <c r="D217" s="137">
        <f>+COUNTIFS(GENERAL!$B:$B,'datos por personal'!D$1,GENERAL!$H:$H,'datos por personal'!$B217)</f>
        <v>0</v>
      </c>
      <c r="E217" s="137">
        <f>+COUNTIFS(GENERAL!$B:$B,'datos por personal'!E$1,GENERAL!$H:$H,'datos por personal'!$B217)</f>
        <v>0</v>
      </c>
      <c r="F217" s="137">
        <f>+COUNTIFS(GENERAL!$B:$B,'datos por personal'!F$1,GENERAL!$H:$H,'datos por personal'!$B217)</f>
        <v>0</v>
      </c>
      <c r="G217" s="137">
        <f>+COUNTIFS(GENERAL!$B:$B,'datos por personal'!G$1,GENERAL!$H:$H,'datos por personal'!$B217)</f>
        <v>1</v>
      </c>
      <c r="H217" s="137">
        <f>+COUNTIFS(GENERAL!$B:$B,'datos por personal'!H$1,GENERAL!$H:$H,'datos por personal'!$B217)</f>
        <v>0</v>
      </c>
      <c r="J217" s="135">
        <f t="shared" si="3"/>
        <v>1</v>
      </c>
    </row>
    <row r="218" spans="1:10">
      <c r="A218" s="162" t="s">
        <v>1874</v>
      </c>
      <c r="B218" s="163" t="s">
        <v>1470</v>
      </c>
      <c r="C218" s="137">
        <f>+COUNTIFS(GENERAL!$B:$B,'datos por personal'!C$1,GENERAL!$H:$H,'datos por personal'!$B218)</f>
        <v>0</v>
      </c>
      <c r="D218" s="137">
        <f>+COUNTIFS(GENERAL!$B:$B,'datos por personal'!D$1,GENERAL!$H:$H,'datos por personal'!$B218)</f>
        <v>0</v>
      </c>
      <c r="E218" s="137">
        <f>+COUNTIFS(GENERAL!$B:$B,'datos por personal'!E$1,GENERAL!$H:$H,'datos por personal'!$B218)</f>
        <v>0</v>
      </c>
      <c r="F218" s="137">
        <f>+COUNTIFS(GENERAL!$B:$B,'datos por personal'!F$1,GENERAL!$H:$H,'datos por personal'!$B218)</f>
        <v>0</v>
      </c>
      <c r="G218" s="137">
        <f>+COUNTIFS(GENERAL!$B:$B,'datos por personal'!G$1,GENERAL!$H:$H,'datos por personal'!$B218)</f>
        <v>1</v>
      </c>
      <c r="H218" s="137">
        <f>+COUNTIFS(GENERAL!$B:$B,'datos por personal'!H$1,GENERAL!$H:$H,'datos por personal'!$B218)</f>
        <v>1</v>
      </c>
      <c r="J218" s="135">
        <f t="shared" si="3"/>
        <v>2</v>
      </c>
    </row>
    <row r="219" spans="1:10">
      <c r="A219" s="162" t="s">
        <v>1874</v>
      </c>
      <c r="B219" s="163" t="s">
        <v>1512</v>
      </c>
      <c r="C219" s="137">
        <f>+COUNTIFS(GENERAL!$B:$B,'datos por personal'!C$1,GENERAL!$H:$H,'datos por personal'!$B219)</f>
        <v>0</v>
      </c>
      <c r="D219" s="137">
        <f>+COUNTIFS(GENERAL!$B:$B,'datos por personal'!D$1,GENERAL!$H:$H,'datos por personal'!$B219)</f>
        <v>0</v>
      </c>
      <c r="E219" s="137">
        <f>+COUNTIFS(GENERAL!$B:$B,'datos por personal'!E$1,GENERAL!$H:$H,'datos por personal'!$B219)</f>
        <v>0</v>
      </c>
      <c r="F219" s="137">
        <f>+COUNTIFS(GENERAL!$B:$B,'datos por personal'!F$1,GENERAL!$H:$H,'datos por personal'!$B219)</f>
        <v>0</v>
      </c>
      <c r="G219" s="137">
        <f>+COUNTIFS(GENERAL!$B:$B,'datos por personal'!G$1,GENERAL!$H:$H,'datos por personal'!$B219)</f>
        <v>3</v>
      </c>
      <c r="H219" s="137">
        <f>+COUNTIFS(GENERAL!$B:$B,'datos por personal'!H$1,GENERAL!$H:$H,'datos por personal'!$B219)</f>
        <v>1</v>
      </c>
      <c r="J219" s="135">
        <f t="shared" si="3"/>
        <v>4</v>
      </c>
    </row>
    <row r="220" spans="1:10">
      <c r="A220" s="162" t="s">
        <v>1874</v>
      </c>
      <c r="B220" s="163" t="s">
        <v>1567</v>
      </c>
      <c r="C220" s="137">
        <f>+COUNTIFS(GENERAL!$B:$B,'datos por personal'!C$1,GENERAL!$H:$H,'datos por personal'!$B220)</f>
        <v>0</v>
      </c>
      <c r="D220" s="137">
        <f>+COUNTIFS(GENERAL!$B:$B,'datos por personal'!D$1,GENERAL!$H:$H,'datos por personal'!$B220)</f>
        <v>0</v>
      </c>
      <c r="E220" s="137">
        <f>+COUNTIFS(GENERAL!$B:$B,'datos por personal'!E$1,GENERAL!$H:$H,'datos por personal'!$B220)</f>
        <v>0</v>
      </c>
      <c r="F220" s="137">
        <f>+COUNTIFS(GENERAL!$B:$B,'datos por personal'!F$1,GENERAL!$H:$H,'datos por personal'!$B220)</f>
        <v>0</v>
      </c>
      <c r="G220" s="137">
        <f>+COUNTIFS(GENERAL!$B:$B,'datos por personal'!G$1,GENERAL!$H:$H,'datos por personal'!$B220)</f>
        <v>1</v>
      </c>
      <c r="H220" s="137">
        <f>+COUNTIFS(GENERAL!$B:$B,'datos por personal'!H$1,GENERAL!$H:$H,'datos por personal'!$B220)</f>
        <v>0</v>
      </c>
      <c r="J220" s="135">
        <f t="shared" si="3"/>
        <v>1</v>
      </c>
    </row>
    <row r="221" spans="1:10">
      <c r="A221" s="162" t="s">
        <v>1874</v>
      </c>
      <c r="B221" s="163" t="s">
        <v>1582</v>
      </c>
      <c r="C221" s="137">
        <f>+COUNTIFS(GENERAL!$B:$B,'datos por personal'!C$1,GENERAL!$H:$H,'datos por personal'!$B221)</f>
        <v>0</v>
      </c>
      <c r="D221" s="137">
        <f>+COUNTIFS(GENERAL!$B:$B,'datos por personal'!D$1,GENERAL!$H:$H,'datos por personal'!$B221)</f>
        <v>0</v>
      </c>
      <c r="E221" s="137">
        <f>+COUNTIFS(GENERAL!$B:$B,'datos por personal'!E$1,GENERAL!$H:$H,'datos por personal'!$B221)</f>
        <v>0</v>
      </c>
      <c r="F221" s="137">
        <f>+COUNTIFS(GENERAL!$B:$B,'datos por personal'!F$1,GENERAL!$H:$H,'datos por personal'!$B221)</f>
        <v>0</v>
      </c>
      <c r="G221" s="137">
        <f>+COUNTIFS(GENERAL!$B:$B,'datos por personal'!G$1,GENERAL!$H:$H,'datos por personal'!$B221)</f>
        <v>2</v>
      </c>
      <c r="H221" s="137">
        <f>+COUNTIFS(GENERAL!$B:$B,'datos por personal'!H$1,GENERAL!$H:$H,'datos por personal'!$B221)</f>
        <v>0</v>
      </c>
      <c r="J221" s="135">
        <f t="shared" si="3"/>
        <v>2</v>
      </c>
    </row>
    <row r="222" spans="1:10">
      <c r="A222" s="162" t="s">
        <v>1874</v>
      </c>
      <c r="B222" s="163" t="s">
        <v>1683</v>
      </c>
      <c r="C222" s="137">
        <f>+COUNTIFS(GENERAL!$B:$B,'datos por personal'!C$1,GENERAL!$H:$H,'datos por personal'!$B222)</f>
        <v>0</v>
      </c>
      <c r="D222" s="137">
        <f>+COUNTIFS(GENERAL!$B:$B,'datos por personal'!D$1,GENERAL!$H:$H,'datos por personal'!$B222)</f>
        <v>0</v>
      </c>
      <c r="E222" s="137">
        <f>+COUNTIFS(GENERAL!$B:$B,'datos por personal'!E$1,GENERAL!$H:$H,'datos por personal'!$B222)</f>
        <v>0</v>
      </c>
      <c r="F222" s="137">
        <f>+COUNTIFS(GENERAL!$B:$B,'datos por personal'!F$1,GENERAL!$H:$H,'datos por personal'!$B222)</f>
        <v>0</v>
      </c>
      <c r="G222" s="137">
        <f>+COUNTIFS(GENERAL!$B:$B,'datos por personal'!G$1,GENERAL!$H:$H,'datos por personal'!$B222)</f>
        <v>0</v>
      </c>
      <c r="H222" s="137">
        <f>+COUNTIFS(GENERAL!$B:$B,'datos por personal'!H$1,GENERAL!$H:$H,'datos por personal'!$B222)</f>
        <v>1</v>
      </c>
      <c r="J222" s="135">
        <f t="shared" si="3"/>
        <v>1</v>
      </c>
    </row>
    <row r="225" spans="10:10">
      <c r="J225" s="62">
        <f>+SUM(J2:J222)</f>
        <v>760</v>
      </c>
    </row>
  </sheetData>
  <autoFilter ref="J1:J222" xr:uid="{51D42C21-E485-4A32-B62C-A3AD5EA09643}"/>
  <conditionalFormatting sqref="J2:J222">
    <cfRule type="cellIs" dxfId="0" priority="1" operator="greaterThan">
      <formula>4</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81D5C-54E8-40CD-9A31-EE8D32EE5B10}">
  <dimension ref="B2:E54"/>
  <sheetViews>
    <sheetView showGridLines="0" topLeftCell="A41" workbookViewId="0">
      <selection activeCell="O1" sqref="O1"/>
    </sheetView>
  </sheetViews>
  <sheetFormatPr defaultColWidth="9.140625" defaultRowHeight="12.75"/>
  <cols>
    <col min="1" max="1" width="11.28515625" style="108" customWidth="1"/>
    <col min="2" max="2" width="13.140625" style="108" customWidth="1"/>
    <col min="3" max="4" width="11.28515625" style="120" bestFit="1" customWidth="1"/>
    <col min="5" max="5" width="53.42578125" style="108" customWidth="1"/>
    <col min="6" max="9" width="11.28515625" style="108" bestFit="1" customWidth="1"/>
    <col min="10" max="99" width="12.140625" style="108" bestFit="1" customWidth="1"/>
    <col min="100" max="999" width="13.140625" style="108" bestFit="1" customWidth="1"/>
    <col min="1000" max="9999" width="14" style="108" bestFit="1" customWidth="1"/>
    <col min="10000" max="16384" width="15" style="108" bestFit="1" customWidth="1"/>
  </cols>
  <sheetData>
    <row r="2" spans="2:5">
      <c r="B2" s="110"/>
      <c r="C2" s="115" t="s">
        <v>1875</v>
      </c>
      <c r="D2" s="115"/>
      <c r="E2" s="110" t="s">
        <v>1876</v>
      </c>
    </row>
    <row r="3" spans="2:5" ht="38.25">
      <c r="B3" s="111" t="s">
        <v>26</v>
      </c>
      <c r="C3" s="116">
        <v>83</v>
      </c>
      <c r="D3" s="117">
        <v>0.93</v>
      </c>
      <c r="E3" s="112" t="s">
        <v>1877</v>
      </c>
    </row>
    <row r="4" spans="2:5">
      <c r="B4" s="111" t="s">
        <v>1878</v>
      </c>
      <c r="C4" s="116">
        <v>1</v>
      </c>
      <c r="D4" s="117">
        <v>0.01</v>
      </c>
      <c r="E4" s="111" t="s">
        <v>1879</v>
      </c>
    </row>
    <row r="5" spans="2:5" ht="25.5">
      <c r="B5" s="113" t="s">
        <v>36</v>
      </c>
      <c r="C5" s="118">
        <v>5</v>
      </c>
      <c r="D5" s="119">
        <v>0.06</v>
      </c>
      <c r="E5" s="112" t="s">
        <v>1880</v>
      </c>
    </row>
    <row r="6" spans="2:5">
      <c r="B6" s="110" t="s">
        <v>1872</v>
      </c>
      <c r="C6" s="115">
        <f>SUM(C3:C5)</f>
        <v>89</v>
      </c>
      <c r="D6" s="123">
        <f>SUM(D3:D5)</f>
        <v>1</v>
      </c>
    </row>
    <row r="7" spans="2:5">
      <c r="D7" s="121"/>
    </row>
    <row r="8" spans="2:5">
      <c r="B8" s="114"/>
      <c r="C8" s="122" t="s">
        <v>1881</v>
      </c>
      <c r="D8" s="122"/>
      <c r="E8" s="114" t="s">
        <v>1876</v>
      </c>
    </row>
    <row r="9" spans="2:5" ht="38.25">
      <c r="B9" s="111" t="s">
        <v>26</v>
      </c>
      <c r="C9" s="116">
        <v>52</v>
      </c>
      <c r="D9" s="117">
        <v>0.85</v>
      </c>
      <c r="E9" s="112" t="s">
        <v>1882</v>
      </c>
    </row>
    <row r="10" spans="2:5">
      <c r="B10" s="111" t="s">
        <v>1878</v>
      </c>
      <c r="C10" s="116">
        <v>0</v>
      </c>
      <c r="D10" s="117">
        <v>0</v>
      </c>
      <c r="E10" s="111"/>
    </row>
    <row r="11" spans="2:5" ht="38.25">
      <c r="B11" s="113" t="s">
        <v>36</v>
      </c>
      <c r="C11" s="118">
        <v>9</v>
      </c>
      <c r="D11" s="119">
        <v>0.15</v>
      </c>
      <c r="E11" s="112" t="s">
        <v>1883</v>
      </c>
    </row>
    <row r="12" spans="2:5">
      <c r="B12" s="110" t="s">
        <v>1872</v>
      </c>
      <c r="C12" s="115">
        <f>SUM(C9:C11)</f>
        <v>61</v>
      </c>
      <c r="D12" s="123">
        <f>SUM(D9:D11)</f>
        <v>1</v>
      </c>
    </row>
    <row r="13" spans="2:5">
      <c r="E13" s="109"/>
    </row>
    <row r="14" spans="2:5">
      <c r="B14" s="114"/>
      <c r="C14" s="122" t="s">
        <v>1884</v>
      </c>
      <c r="D14" s="122"/>
      <c r="E14" s="114" t="s">
        <v>1876</v>
      </c>
    </row>
    <row r="15" spans="2:5" ht="38.25">
      <c r="B15" s="111" t="s">
        <v>26</v>
      </c>
      <c r="C15" s="116">
        <v>14</v>
      </c>
      <c r="D15" s="124">
        <v>0.93330000000000002</v>
      </c>
      <c r="E15" s="112" t="s">
        <v>1882</v>
      </c>
    </row>
    <row r="16" spans="2:5">
      <c r="B16" s="111" t="s">
        <v>1878</v>
      </c>
      <c r="C16" s="116">
        <v>0</v>
      </c>
      <c r="D16" s="117">
        <v>0</v>
      </c>
      <c r="E16" s="111"/>
    </row>
    <row r="17" spans="2:5" ht="38.25">
      <c r="B17" s="113" t="s">
        <v>36</v>
      </c>
      <c r="C17" s="118">
        <v>1</v>
      </c>
      <c r="D17" s="119">
        <v>6.6699999999999995E-2</v>
      </c>
      <c r="E17" s="112" t="s">
        <v>1883</v>
      </c>
    </row>
    <row r="18" spans="2:5">
      <c r="B18" s="110" t="s">
        <v>1872</v>
      </c>
      <c r="C18" s="115">
        <f>SUM(C15:C17)</f>
        <v>15</v>
      </c>
      <c r="D18" s="123">
        <f>SUM(D15:D17)</f>
        <v>1</v>
      </c>
    </row>
    <row r="20" spans="2:5">
      <c r="B20" s="114"/>
      <c r="C20" s="122" t="s">
        <v>1885</v>
      </c>
      <c r="D20" s="122"/>
      <c r="E20" s="114" t="s">
        <v>1876</v>
      </c>
    </row>
    <row r="21" spans="2:5" ht="38.25">
      <c r="B21" s="111" t="s">
        <v>26</v>
      </c>
      <c r="C21" s="116">
        <v>7</v>
      </c>
      <c r="D21" s="124">
        <f>C21/7*100</f>
        <v>100</v>
      </c>
      <c r="E21" s="112" t="s">
        <v>1882</v>
      </c>
    </row>
    <row r="22" spans="2:5">
      <c r="B22" s="111" t="s">
        <v>1878</v>
      </c>
      <c r="C22" s="116">
        <v>0</v>
      </c>
      <c r="D22" s="117">
        <v>0</v>
      </c>
      <c r="E22" s="111"/>
    </row>
    <row r="23" spans="2:5">
      <c r="B23" s="113" t="s">
        <v>36</v>
      </c>
      <c r="C23" s="118">
        <v>0</v>
      </c>
      <c r="D23" s="119">
        <v>0</v>
      </c>
      <c r="E23" s="112"/>
    </row>
    <row r="24" spans="2:5">
      <c r="B24" s="110" t="s">
        <v>1872</v>
      </c>
      <c r="C24" s="115">
        <f>SUM(C21:C23)</f>
        <v>7</v>
      </c>
      <c r="D24" s="123">
        <f>SUM(D21:D23)</f>
        <v>100</v>
      </c>
    </row>
    <row r="26" spans="2:5">
      <c r="B26" s="114"/>
      <c r="C26" s="122" t="s">
        <v>1886</v>
      </c>
      <c r="D26" s="122"/>
      <c r="E26" s="114" t="s">
        <v>1876</v>
      </c>
    </row>
    <row r="27" spans="2:5" ht="38.25">
      <c r="B27" s="111" t="s">
        <v>26</v>
      </c>
      <c r="C27" s="116">
        <v>10</v>
      </c>
      <c r="D27" s="124">
        <v>0.66669999999999996</v>
      </c>
      <c r="E27" s="112" t="s">
        <v>1882</v>
      </c>
    </row>
    <row r="28" spans="2:5">
      <c r="B28" s="111" t="s">
        <v>1878</v>
      </c>
      <c r="C28" s="116">
        <v>0</v>
      </c>
      <c r="D28" s="117"/>
      <c r="E28" s="111"/>
    </row>
    <row r="29" spans="2:5" ht="25.5">
      <c r="B29" s="113" t="s">
        <v>36</v>
      </c>
      <c r="C29" s="118">
        <v>5</v>
      </c>
      <c r="D29" s="119">
        <v>0.33329999999999999</v>
      </c>
      <c r="E29" s="112" t="s">
        <v>1887</v>
      </c>
    </row>
    <row r="30" spans="2:5">
      <c r="B30" s="110" t="s">
        <v>1872</v>
      </c>
      <c r="C30" s="115">
        <f>SUM(C27:C29)</f>
        <v>15</v>
      </c>
      <c r="D30" s="123">
        <v>1</v>
      </c>
    </row>
    <row r="32" spans="2:5">
      <c r="B32" s="114"/>
      <c r="C32" s="122" t="s">
        <v>1888</v>
      </c>
      <c r="D32" s="122"/>
      <c r="E32" s="114" t="s">
        <v>1876</v>
      </c>
    </row>
    <row r="33" spans="2:5" ht="25.5">
      <c r="B33" s="111" t="s">
        <v>26</v>
      </c>
      <c r="C33" s="116">
        <v>12</v>
      </c>
      <c r="D33" s="130">
        <f>C33/C36*100</f>
        <v>70.588235294117652</v>
      </c>
      <c r="E33" s="112" t="s">
        <v>1889</v>
      </c>
    </row>
    <row r="34" spans="2:5">
      <c r="B34" s="111" t="s">
        <v>1878</v>
      </c>
      <c r="C34" s="116">
        <v>0</v>
      </c>
      <c r="D34" s="117"/>
      <c r="E34" s="111"/>
    </row>
    <row r="35" spans="2:5" ht="25.5">
      <c r="B35" s="113" t="s">
        <v>36</v>
      </c>
      <c r="C35" s="118">
        <v>5</v>
      </c>
      <c r="D35" s="131">
        <f>C35/C36*100</f>
        <v>29.411764705882355</v>
      </c>
      <c r="E35" s="112" t="s">
        <v>1890</v>
      </c>
    </row>
    <row r="36" spans="2:5">
      <c r="B36" s="110" t="s">
        <v>1872</v>
      </c>
      <c r="C36" s="115">
        <v>17</v>
      </c>
      <c r="D36" s="123">
        <v>1</v>
      </c>
    </row>
    <row r="38" spans="2:5">
      <c r="B38" s="114"/>
      <c r="C38" s="122" t="s">
        <v>1891</v>
      </c>
      <c r="D38" s="122"/>
      <c r="E38" s="114" t="s">
        <v>1876</v>
      </c>
    </row>
    <row r="39" spans="2:5" ht="38.25">
      <c r="B39" s="111" t="s">
        <v>26</v>
      </c>
      <c r="C39" s="116">
        <v>14</v>
      </c>
      <c r="D39" s="130">
        <f>C39/C42*100</f>
        <v>93.333333333333329</v>
      </c>
      <c r="E39" s="112" t="s">
        <v>1892</v>
      </c>
    </row>
    <row r="40" spans="2:5">
      <c r="B40" s="111" t="s">
        <v>1878</v>
      </c>
      <c r="C40" s="116">
        <v>0</v>
      </c>
      <c r="D40" s="117"/>
      <c r="E40" s="111"/>
    </row>
    <row r="41" spans="2:5" ht="25.5">
      <c r="B41" s="113" t="s">
        <v>36</v>
      </c>
      <c r="C41" s="118">
        <v>1</v>
      </c>
      <c r="D41" s="131">
        <f>C41/C42*100</f>
        <v>6.666666666666667</v>
      </c>
      <c r="E41" s="112" t="s">
        <v>1893</v>
      </c>
    </row>
    <row r="42" spans="2:5">
      <c r="B42" s="110" t="s">
        <v>1872</v>
      </c>
      <c r="C42" s="115">
        <v>15</v>
      </c>
      <c r="D42" s="123">
        <v>1</v>
      </c>
    </row>
    <row r="44" spans="2:5">
      <c r="B44" s="114"/>
      <c r="C44" s="122" t="s">
        <v>1894</v>
      </c>
      <c r="D44" s="122"/>
      <c r="E44" s="114" t="s">
        <v>1876</v>
      </c>
    </row>
    <row r="45" spans="2:5" ht="38.25">
      <c r="B45" s="111" t="s">
        <v>26</v>
      </c>
      <c r="C45" s="116">
        <v>1</v>
      </c>
      <c r="D45" s="130">
        <f>C45/C48*100</f>
        <v>100</v>
      </c>
      <c r="E45" s="112" t="s">
        <v>1892</v>
      </c>
    </row>
    <row r="46" spans="2:5">
      <c r="B46" s="111" t="s">
        <v>1878</v>
      </c>
      <c r="C46" s="116">
        <v>0</v>
      </c>
      <c r="D46" s="117"/>
      <c r="E46" s="111"/>
    </row>
    <row r="47" spans="2:5" ht="25.5">
      <c r="B47" s="113" t="s">
        <v>36</v>
      </c>
      <c r="C47" s="118">
        <v>0</v>
      </c>
      <c r="D47" s="131">
        <f>C47/C48*100</f>
        <v>0</v>
      </c>
      <c r="E47" s="112" t="s">
        <v>1893</v>
      </c>
    </row>
    <row r="48" spans="2:5">
      <c r="B48" s="110" t="s">
        <v>1872</v>
      </c>
      <c r="C48" s="115">
        <v>1</v>
      </c>
      <c r="D48" s="123">
        <v>1</v>
      </c>
    </row>
    <row r="50" spans="2:5">
      <c r="B50" s="114"/>
      <c r="C50" s="122" t="s">
        <v>1895</v>
      </c>
      <c r="D50" s="122"/>
      <c r="E50" s="114" t="s">
        <v>1876</v>
      </c>
    </row>
    <row r="51" spans="2:5" ht="38.25">
      <c r="B51" s="111" t="s">
        <v>26</v>
      </c>
      <c r="C51" s="116">
        <v>41</v>
      </c>
      <c r="D51" s="130">
        <f>C51/C54*100</f>
        <v>78.84615384615384</v>
      </c>
      <c r="E51" s="112" t="s">
        <v>1896</v>
      </c>
    </row>
    <row r="52" spans="2:5">
      <c r="B52" s="111" t="s">
        <v>1878</v>
      </c>
      <c r="C52" s="116">
        <v>0</v>
      </c>
      <c r="D52" s="117"/>
      <c r="E52" s="111"/>
    </row>
    <row r="53" spans="2:5" ht="38.25">
      <c r="B53" s="113" t="s">
        <v>36</v>
      </c>
      <c r="C53" s="118">
        <v>11</v>
      </c>
      <c r="D53" s="131">
        <f>C53/C54*100</f>
        <v>21.153846153846153</v>
      </c>
      <c r="E53" s="112" t="s">
        <v>1897</v>
      </c>
    </row>
    <row r="54" spans="2:5">
      <c r="B54" s="110" t="s">
        <v>1872</v>
      </c>
      <c r="C54" s="115">
        <v>52</v>
      </c>
      <c r="D54" s="123">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C4103-FB74-48E8-8DDC-12E6D3C38059}">
  <dimension ref="B1:H10"/>
  <sheetViews>
    <sheetView showGridLines="0" workbookViewId="0">
      <selection activeCell="G16" sqref="G16"/>
    </sheetView>
  </sheetViews>
  <sheetFormatPr defaultColWidth="12.7109375" defaultRowHeight="12"/>
  <cols>
    <col min="1" max="1" width="6.140625" style="98" customWidth="1"/>
    <col min="2" max="3" width="12.7109375" style="98"/>
    <col min="4" max="4" width="13.7109375" style="99" customWidth="1"/>
    <col min="5" max="7" width="12.7109375" style="99"/>
    <col min="8" max="16384" width="12.7109375" style="98"/>
  </cols>
  <sheetData>
    <row r="1" spans="2:8">
      <c r="D1" s="129" t="s">
        <v>33</v>
      </c>
      <c r="E1" s="129" t="s">
        <v>43</v>
      </c>
    </row>
    <row r="2" spans="2:8">
      <c r="D2" s="100"/>
      <c r="E2" s="100"/>
    </row>
    <row r="3" spans="2:8" ht="24">
      <c r="B3" s="104" t="s">
        <v>1898</v>
      </c>
      <c r="C3" s="105" t="s">
        <v>1899</v>
      </c>
      <c r="D3" s="106" t="s">
        <v>1900</v>
      </c>
      <c r="E3" s="104" t="s">
        <v>1901</v>
      </c>
      <c r="F3" s="104" t="s">
        <v>1902</v>
      </c>
      <c r="G3" s="104" t="s">
        <v>1903</v>
      </c>
      <c r="H3" s="104" t="s">
        <v>1904</v>
      </c>
    </row>
    <row r="4" spans="2:8">
      <c r="B4" s="101" t="s">
        <v>376</v>
      </c>
      <c r="C4" s="102">
        <f>+COUNTIF(GENERAL!$B:$B,'Detalle llamadas'!B4)</f>
        <v>76</v>
      </c>
      <c r="D4" s="102">
        <f>+COUNTIFS(GENERAL!$B:$B,'Detalle llamadas'!$B4,GENERAL!$R:$R,$D$1)</f>
        <v>48</v>
      </c>
      <c r="E4" s="102">
        <f>+COUNTIFS(GENERAL!$B:$B,'Detalle llamadas'!$B4,GENERAL!$R:$R,$E$1)</f>
        <v>28</v>
      </c>
      <c r="F4" s="102">
        <f>+COUNTIFS(GENERAL!$B:$B,'Detalle llamadas'!$B4,GENERAL!$S:$S,"si")</f>
        <v>18</v>
      </c>
      <c r="G4" s="103">
        <f>+F4/E4</f>
        <v>0.6428571428571429</v>
      </c>
      <c r="H4" s="102">
        <f>+COUNTIFS(GENERAL!$B:$B,'Detalle llamadas'!$B4,GENERAL!$U:$U,"si")</f>
        <v>14</v>
      </c>
    </row>
    <row r="5" spans="2:8">
      <c r="C5" s="99"/>
      <c r="F5" s="125"/>
    </row>
    <row r="6" spans="2:8" ht="24">
      <c r="B6" s="104" t="s">
        <v>1898</v>
      </c>
      <c r="C6" s="105" t="s">
        <v>1899</v>
      </c>
      <c r="D6" s="106" t="s">
        <v>1900</v>
      </c>
      <c r="E6" s="104" t="s">
        <v>1901</v>
      </c>
      <c r="F6" s="104" t="s">
        <v>1902</v>
      </c>
      <c r="G6" s="104" t="s">
        <v>1903</v>
      </c>
      <c r="H6" s="104" t="s">
        <v>1904</v>
      </c>
    </row>
    <row r="7" spans="2:8">
      <c r="B7" s="101" t="s">
        <v>740</v>
      </c>
      <c r="C7" s="102">
        <f>+COUNTIF(GENERAL!$B:$B,'Detalle llamadas'!B7)</f>
        <v>52</v>
      </c>
      <c r="D7" s="102">
        <f>+COUNTIFS(GENERAL!$B:$B,'Detalle llamadas'!$B7,GENERAL!$R:$R,$D$1)</f>
        <v>27</v>
      </c>
      <c r="E7" s="102">
        <f>+COUNTIFS(GENERAL!$B:$B,'Detalle llamadas'!$B7,GENERAL!$R:$R,$E$1)</f>
        <v>24</v>
      </c>
      <c r="F7" s="102">
        <f>+COUNTIFS(GENERAL!$B:$B,'Detalle llamadas'!$B7,GENERAL!$S:$S,"si")</f>
        <v>12</v>
      </c>
      <c r="G7" s="103">
        <f>+F7/E7</f>
        <v>0.5</v>
      </c>
      <c r="H7" s="102">
        <f>+COUNTIFS(GENERAL!$B:$B,'Detalle llamadas'!$B7,GENERAL!$U:$U,"si")</f>
        <v>10</v>
      </c>
    </row>
    <row r="9" spans="2:8" ht="24">
      <c r="B9" s="104" t="s">
        <v>1898</v>
      </c>
      <c r="C9" s="105" t="s">
        <v>1899</v>
      </c>
      <c r="D9" s="106" t="s">
        <v>1900</v>
      </c>
      <c r="E9" s="104" t="s">
        <v>1901</v>
      </c>
      <c r="F9" s="104" t="s">
        <v>1902</v>
      </c>
      <c r="G9" s="104" t="s">
        <v>1903</v>
      </c>
      <c r="H9" s="104" t="s">
        <v>1904</v>
      </c>
    </row>
    <row r="10" spans="2:8">
      <c r="B10" s="101" t="s">
        <v>993</v>
      </c>
      <c r="C10" s="102">
        <f>+COUNTIF(GENERAL!$B:$B,'Detalle llamadas'!B10)</f>
        <v>58</v>
      </c>
      <c r="D10" s="102">
        <f>+COUNTIFS(GENERAL!$B:$B,'Detalle llamadas'!$B10,GENERAL!$R:$R,$D$1)</f>
        <v>4</v>
      </c>
      <c r="E10" s="102">
        <f>+COUNTIFS(GENERAL!$B:$B,'Detalle llamadas'!$B10,GENERAL!$R:$R,$E$1)</f>
        <v>51</v>
      </c>
      <c r="F10" s="102">
        <f>+COUNTIFS(GENERAL!$B:$B,'Detalle llamadas'!$B10,GENERAL!$S:$S,"si")</f>
        <v>24</v>
      </c>
      <c r="G10" s="103">
        <f>+F10/E10</f>
        <v>0.47058823529411764</v>
      </c>
      <c r="H10" s="102">
        <f>+COUNTIFS(GENERAL!$B:$B,'Detalle llamadas'!$B10,GENERAL!$U:$U,"si")</f>
        <v>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43F5-28AD-4DFA-8D27-22B03D1AFF3A}">
  <dimension ref="B1:E35"/>
  <sheetViews>
    <sheetView topLeftCell="A2" workbookViewId="0">
      <selection activeCell="E47" sqref="E47"/>
    </sheetView>
  </sheetViews>
  <sheetFormatPr defaultColWidth="9.140625" defaultRowHeight="15"/>
  <cols>
    <col min="2" max="2" width="13.140625" customWidth="1"/>
    <col min="3" max="4" width="11.28515625" bestFit="1" customWidth="1"/>
    <col min="5" max="5" width="53.42578125" customWidth="1"/>
  </cols>
  <sheetData>
    <row r="1" spans="2:5">
      <c r="B1" s="114"/>
      <c r="C1" s="122" t="s">
        <v>1905</v>
      </c>
      <c r="D1" s="122"/>
      <c r="E1" s="114" t="s">
        <v>1876</v>
      </c>
    </row>
    <row r="2" spans="2:5" ht="38.25">
      <c r="B2" s="111" t="s">
        <v>26</v>
      </c>
      <c r="C2" s="116">
        <v>11</v>
      </c>
      <c r="D2" s="130">
        <f>C2/C5*100</f>
        <v>84.615384615384613</v>
      </c>
      <c r="E2" s="112" t="s">
        <v>1892</v>
      </c>
    </row>
    <row r="3" spans="2:5">
      <c r="B3" s="111" t="s">
        <v>1878</v>
      </c>
      <c r="C3" s="116">
        <v>0</v>
      </c>
      <c r="D3" s="117"/>
      <c r="E3" s="111"/>
    </row>
    <row r="4" spans="2:5" ht="25.5">
      <c r="B4" s="113" t="s">
        <v>36</v>
      </c>
      <c r="C4" s="118">
        <v>0</v>
      </c>
      <c r="D4" s="131">
        <f>C4/C5*100</f>
        <v>0</v>
      </c>
      <c r="E4" s="112" t="s">
        <v>1893</v>
      </c>
    </row>
    <row r="5" spans="2:5">
      <c r="B5" s="110" t="s">
        <v>1872</v>
      </c>
      <c r="C5" s="115">
        <v>13</v>
      </c>
      <c r="D5" s="123">
        <v>1</v>
      </c>
      <c r="E5" s="108"/>
    </row>
    <row r="7" spans="2:5">
      <c r="B7" s="114"/>
      <c r="C7" s="122" t="s">
        <v>1906</v>
      </c>
      <c r="D7" s="122"/>
      <c r="E7" s="114" t="s">
        <v>1876</v>
      </c>
    </row>
    <row r="8" spans="2:5" ht="38.25">
      <c r="B8" s="111" t="s">
        <v>26</v>
      </c>
      <c r="C8" s="116">
        <v>13</v>
      </c>
      <c r="D8" s="130">
        <f>C8/C11*100</f>
        <v>72.222222222222214</v>
      </c>
      <c r="E8" s="112" t="s">
        <v>1892</v>
      </c>
    </row>
    <row r="9" spans="2:5">
      <c r="B9" s="111" t="s">
        <v>1878</v>
      </c>
      <c r="C9" s="116">
        <v>0</v>
      </c>
      <c r="D9" s="117"/>
      <c r="E9" s="111"/>
    </row>
    <row r="10" spans="2:5" ht="38.25">
      <c r="B10" s="113" t="s">
        <v>36</v>
      </c>
      <c r="C10" s="118">
        <v>5</v>
      </c>
      <c r="D10" s="131">
        <f>C10/C11*100</f>
        <v>27.777777777777779</v>
      </c>
      <c r="E10" s="112" t="s">
        <v>1907</v>
      </c>
    </row>
    <row r="11" spans="2:5">
      <c r="B11" s="110" t="s">
        <v>1872</v>
      </c>
      <c r="C11" s="115">
        <v>18</v>
      </c>
      <c r="D11" s="123">
        <v>1</v>
      </c>
      <c r="E11" s="108"/>
    </row>
    <row r="13" spans="2:5">
      <c r="B13" s="114"/>
      <c r="C13" s="122" t="s">
        <v>1908</v>
      </c>
      <c r="D13" s="122"/>
      <c r="E13" s="114" t="s">
        <v>1876</v>
      </c>
    </row>
    <row r="14" spans="2:5" ht="38.25">
      <c r="B14" s="111" t="s">
        <v>26</v>
      </c>
      <c r="C14" s="116">
        <v>7</v>
      </c>
      <c r="D14" s="130">
        <f>C14/C17*100</f>
        <v>87.5</v>
      </c>
      <c r="E14" s="112" t="s">
        <v>1892</v>
      </c>
    </row>
    <row r="15" spans="2:5">
      <c r="B15" s="111" t="s">
        <v>1878</v>
      </c>
      <c r="C15" s="116">
        <v>0</v>
      </c>
      <c r="D15" s="117"/>
      <c r="E15" s="111"/>
    </row>
    <row r="16" spans="2:5" ht="25.5">
      <c r="B16" s="113" t="s">
        <v>36</v>
      </c>
      <c r="C16" s="118">
        <v>1</v>
      </c>
      <c r="D16" s="131">
        <f>C16/C17*100</f>
        <v>12.5</v>
      </c>
      <c r="E16" s="112" t="s">
        <v>1909</v>
      </c>
    </row>
    <row r="17" spans="2:5">
      <c r="B17" s="110" t="s">
        <v>1872</v>
      </c>
      <c r="C17" s="115">
        <v>8</v>
      </c>
      <c r="D17" s="123">
        <v>1</v>
      </c>
      <c r="E17" s="108"/>
    </row>
    <row r="19" spans="2:5">
      <c r="B19" s="114"/>
      <c r="C19" s="122" t="s">
        <v>1910</v>
      </c>
      <c r="D19" s="122"/>
      <c r="E19" s="114" t="s">
        <v>1876</v>
      </c>
    </row>
    <row r="20" spans="2:5" ht="38.25">
      <c r="B20" s="111" t="s">
        <v>26</v>
      </c>
      <c r="C20" s="116">
        <v>11</v>
      </c>
      <c r="D20" s="130">
        <f>C20/C23*100</f>
        <v>137.5</v>
      </c>
      <c r="E20" s="112" t="s">
        <v>1892</v>
      </c>
    </row>
    <row r="21" spans="2:5">
      <c r="B21" s="111" t="s">
        <v>1878</v>
      </c>
      <c r="C21" s="116">
        <v>0</v>
      </c>
      <c r="D21" s="117"/>
      <c r="E21" s="111"/>
    </row>
    <row r="22" spans="2:5">
      <c r="B22" s="113" t="s">
        <v>36</v>
      </c>
      <c r="C22" s="118">
        <v>0</v>
      </c>
      <c r="D22" s="131">
        <f>C22/C23*100</f>
        <v>0</v>
      </c>
      <c r="E22" s="112"/>
    </row>
    <row r="23" spans="2:5">
      <c r="B23" s="110" t="s">
        <v>1872</v>
      </c>
      <c r="C23" s="115">
        <v>8</v>
      </c>
      <c r="D23" s="123">
        <v>1</v>
      </c>
      <c r="E23" s="108"/>
    </row>
    <row r="25" spans="2:5">
      <c r="B25" s="114"/>
      <c r="C25" s="122" t="s">
        <v>1911</v>
      </c>
      <c r="D25" s="122"/>
      <c r="E25" s="114" t="s">
        <v>1876</v>
      </c>
    </row>
    <row r="26" spans="2:5" ht="38.25">
      <c r="B26" s="111" t="s">
        <v>26</v>
      </c>
      <c r="C26" s="116">
        <v>10</v>
      </c>
      <c r="D26" s="130">
        <f>C26/C29*100</f>
        <v>100</v>
      </c>
      <c r="E26" s="112" t="s">
        <v>1892</v>
      </c>
    </row>
    <row r="27" spans="2:5">
      <c r="B27" s="111" t="s">
        <v>1878</v>
      </c>
      <c r="C27" s="116">
        <v>0</v>
      </c>
      <c r="D27" s="117"/>
      <c r="E27" s="111"/>
    </row>
    <row r="28" spans="2:5">
      <c r="B28" s="113" t="s">
        <v>36</v>
      </c>
      <c r="C28" s="118">
        <v>0</v>
      </c>
      <c r="D28" s="131">
        <f>C28/C29*100</f>
        <v>0</v>
      </c>
      <c r="E28" s="112"/>
    </row>
    <row r="29" spans="2:5">
      <c r="B29" s="110" t="s">
        <v>1872</v>
      </c>
      <c r="C29" s="115">
        <v>10</v>
      </c>
      <c r="D29" s="123">
        <v>1</v>
      </c>
      <c r="E29" s="108"/>
    </row>
    <row r="31" spans="2:5">
      <c r="B31" s="114"/>
      <c r="C31" s="122" t="s">
        <v>1912</v>
      </c>
      <c r="D31" s="122"/>
      <c r="E31" s="114" t="s">
        <v>1876</v>
      </c>
    </row>
    <row r="32" spans="2:5" ht="38.25">
      <c r="B32" s="111" t="s">
        <v>26</v>
      </c>
      <c r="C32" s="116">
        <v>52</v>
      </c>
      <c r="D32" s="130">
        <f>C32/C35*100</f>
        <v>89.65517241379311</v>
      </c>
      <c r="E32" s="112" t="s">
        <v>1892</v>
      </c>
    </row>
    <row r="33" spans="2:5">
      <c r="B33" s="111" t="s">
        <v>1878</v>
      </c>
      <c r="C33" s="116">
        <v>0</v>
      </c>
      <c r="D33" s="117"/>
      <c r="E33" s="111"/>
    </row>
    <row r="34" spans="2:5">
      <c r="B34" s="113" t="s">
        <v>36</v>
      </c>
      <c r="C34" s="118">
        <v>6</v>
      </c>
      <c r="D34" s="131">
        <f>C34/C35*100</f>
        <v>10.344827586206897</v>
      </c>
      <c r="E34" s="112"/>
    </row>
    <row r="35" spans="2:5">
      <c r="B35" s="110" t="s">
        <v>1872</v>
      </c>
      <c r="C35" s="115">
        <v>58</v>
      </c>
      <c r="D35" s="123">
        <v>1</v>
      </c>
      <c r="E35" s="10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F052-7386-4838-8315-D43B583344B9}">
  <dimension ref="B1:J35"/>
  <sheetViews>
    <sheetView workbookViewId="0">
      <selection activeCell="G32" sqref="G32"/>
    </sheetView>
  </sheetViews>
  <sheetFormatPr defaultColWidth="9.140625" defaultRowHeight="15"/>
  <cols>
    <col min="2" max="2" width="13.140625" customWidth="1"/>
    <col min="3" max="4" width="11.28515625" bestFit="1" customWidth="1"/>
    <col min="5" max="5" width="53.42578125" customWidth="1"/>
    <col min="7" max="7" width="13.140625" customWidth="1"/>
    <col min="8" max="9" width="11.28515625" bestFit="1" customWidth="1"/>
    <col min="10" max="10" width="53.42578125" customWidth="1"/>
  </cols>
  <sheetData>
    <row r="1" spans="2:10">
      <c r="B1" s="114"/>
      <c r="C1" s="122" t="s">
        <v>1913</v>
      </c>
      <c r="D1" s="122"/>
      <c r="E1" s="114" t="s">
        <v>1876</v>
      </c>
      <c r="G1" s="114"/>
      <c r="H1" s="122" t="s">
        <v>1914</v>
      </c>
      <c r="I1" s="122"/>
      <c r="J1" s="114" t="s">
        <v>1876</v>
      </c>
    </row>
    <row r="2" spans="2:10" ht="40.5">
      <c r="B2" s="111" t="s">
        <v>26</v>
      </c>
      <c r="C2" s="116">
        <f>C8+C14+C20+C26+C32</f>
        <v>55</v>
      </c>
      <c r="D2" s="130">
        <f>C2/C5*100</f>
        <v>79.710144927536234</v>
      </c>
      <c r="E2" s="112" t="s">
        <v>1915</v>
      </c>
      <c r="G2" s="111" t="s">
        <v>26</v>
      </c>
      <c r="H2" s="116">
        <f>H8+H14+H20+H26+H32</f>
        <v>31</v>
      </c>
      <c r="I2" s="130">
        <f>H2/H5*100</f>
        <v>73.80952380952381</v>
      </c>
      <c r="J2" s="112" t="s">
        <v>1915</v>
      </c>
    </row>
    <row r="3" spans="2:10">
      <c r="B3" s="111" t="s">
        <v>1878</v>
      </c>
      <c r="C3" s="116">
        <v>0</v>
      </c>
      <c r="D3" s="117"/>
      <c r="E3" s="111"/>
      <c r="G3" s="111" t="s">
        <v>1878</v>
      </c>
      <c r="H3" s="116">
        <v>0</v>
      </c>
      <c r="I3" s="117"/>
      <c r="J3" s="111"/>
    </row>
    <row r="4" spans="2:10" ht="40.5">
      <c r="B4" s="113" t="s">
        <v>36</v>
      </c>
      <c r="C4" s="118">
        <f>C10+C16+C22+C28+C34</f>
        <v>14</v>
      </c>
      <c r="D4" s="131">
        <f>C4/C5*100</f>
        <v>20.289855072463769</v>
      </c>
      <c r="E4" s="112" t="s">
        <v>1916</v>
      </c>
      <c r="G4" s="113" t="s">
        <v>36</v>
      </c>
      <c r="H4" s="118">
        <f>H10+H16+H22+H28+H34</f>
        <v>11</v>
      </c>
      <c r="I4" s="131">
        <f>H4/H5*100</f>
        <v>26.190476190476193</v>
      </c>
      <c r="J4" s="112" t="s">
        <v>1916</v>
      </c>
    </row>
    <row r="5" spans="2:10">
      <c r="B5" s="110" t="s">
        <v>1872</v>
      </c>
      <c r="C5" s="115">
        <f>C2+C3+C4</f>
        <v>69</v>
      </c>
      <c r="D5" s="123">
        <v>1</v>
      </c>
      <c r="E5" s="108"/>
      <c r="G5" s="110" t="s">
        <v>1872</v>
      </c>
      <c r="H5" s="115">
        <f>H2+H3+H4</f>
        <v>42</v>
      </c>
      <c r="I5" s="123">
        <v>1</v>
      </c>
      <c r="J5" s="108"/>
    </row>
    <row r="7" spans="2:10">
      <c r="B7" s="114"/>
      <c r="C7" s="122" t="s">
        <v>1917</v>
      </c>
      <c r="D7" s="122"/>
      <c r="E7" s="114" t="s">
        <v>1876</v>
      </c>
      <c r="G7" s="114"/>
      <c r="H7" s="122" t="s">
        <v>1918</v>
      </c>
      <c r="I7" s="122"/>
      <c r="J7" s="114" t="s">
        <v>1876</v>
      </c>
    </row>
    <row r="8" spans="2:10" ht="38.25">
      <c r="B8" s="111" t="s">
        <v>26</v>
      </c>
      <c r="C8" s="116">
        <v>13</v>
      </c>
      <c r="D8" s="130">
        <f>C8/C11*100</f>
        <v>81.25</v>
      </c>
      <c r="E8" s="112" t="s">
        <v>1892</v>
      </c>
      <c r="G8" s="111" t="s">
        <v>26</v>
      </c>
      <c r="H8" s="116">
        <v>10</v>
      </c>
      <c r="I8" s="130">
        <f>H8/H11*100</f>
        <v>76.923076923076934</v>
      </c>
      <c r="J8" s="112" t="s">
        <v>1892</v>
      </c>
    </row>
    <row r="9" spans="2:10">
      <c r="B9" s="111" t="s">
        <v>1878</v>
      </c>
      <c r="C9" s="116">
        <v>0</v>
      </c>
      <c r="D9" s="117"/>
      <c r="E9" s="111"/>
      <c r="G9" s="111" t="s">
        <v>1878</v>
      </c>
      <c r="H9" s="116">
        <v>0</v>
      </c>
      <c r="I9" s="117"/>
      <c r="J9" s="111"/>
    </row>
    <row r="10" spans="2:10" ht="25.5">
      <c r="B10" s="113" t="s">
        <v>36</v>
      </c>
      <c r="C10" s="118">
        <v>3</v>
      </c>
      <c r="D10" s="131">
        <f>C10/C11*100</f>
        <v>18.75</v>
      </c>
      <c r="E10" s="112" t="s">
        <v>1919</v>
      </c>
      <c r="G10" s="113" t="s">
        <v>36</v>
      </c>
      <c r="H10" s="118">
        <v>3</v>
      </c>
      <c r="I10" s="131">
        <f>H10/H11*100</f>
        <v>23.076923076923077</v>
      </c>
      <c r="J10" s="112" t="s">
        <v>1919</v>
      </c>
    </row>
    <row r="11" spans="2:10">
      <c r="B11" s="110" t="s">
        <v>1872</v>
      </c>
      <c r="C11" s="115">
        <v>16</v>
      </c>
      <c r="D11" s="123">
        <v>1</v>
      </c>
      <c r="E11" s="108"/>
      <c r="G11" s="110" t="s">
        <v>1872</v>
      </c>
      <c r="H11" s="115">
        <f>SUM(H8:H10)</f>
        <v>13</v>
      </c>
      <c r="I11" s="123"/>
      <c r="J11" s="108"/>
    </row>
    <row r="13" spans="2:10">
      <c r="B13" s="114"/>
      <c r="C13" s="122" t="s">
        <v>1920</v>
      </c>
      <c r="D13" s="122"/>
      <c r="E13" s="114" t="s">
        <v>1876</v>
      </c>
      <c r="G13" s="114"/>
      <c r="H13" s="122" t="s">
        <v>1921</v>
      </c>
      <c r="I13" s="122"/>
      <c r="J13" s="114" t="s">
        <v>1876</v>
      </c>
    </row>
    <row r="14" spans="2:10" ht="40.5">
      <c r="B14" s="111" t="s">
        <v>26</v>
      </c>
      <c r="C14" s="116">
        <v>14</v>
      </c>
      <c r="D14" s="130">
        <f>C14/C17*100</f>
        <v>87.5</v>
      </c>
      <c r="E14" s="112" t="s">
        <v>1915</v>
      </c>
      <c r="G14" s="111" t="s">
        <v>26</v>
      </c>
      <c r="H14" s="116">
        <v>12</v>
      </c>
      <c r="I14" s="130">
        <f>H14/H17*100</f>
        <v>85.714285714285708</v>
      </c>
      <c r="J14" s="112" t="s">
        <v>1892</v>
      </c>
    </row>
    <row r="15" spans="2:10">
      <c r="B15" s="111" t="s">
        <v>1878</v>
      </c>
      <c r="C15" s="116">
        <v>0</v>
      </c>
      <c r="D15" s="117"/>
      <c r="E15" s="111"/>
      <c r="G15" s="111" t="s">
        <v>1878</v>
      </c>
      <c r="H15" s="116">
        <v>0</v>
      </c>
      <c r="I15" s="117"/>
      <c r="J15" s="111"/>
    </row>
    <row r="16" spans="2:10" ht="40.5">
      <c r="B16" s="113" t="s">
        <v>36</v>
      </c>
      <c r="C16" s="118">
        <v>4</v>
      </c>
      <c r="D16" s="131">
        <f>C16/C17*100</f>
        <v>25</v>
      </c>
      <c r="E16" s="112" t="s">
        <v>1916</v>
      </c>
      <c r="G16" s="113" t="s">
        <v>36</v>
      </c>
      <c r="H16" s="118">
        <v>2</v>
      </c>
      <c r="I16" s="131">
        <f>H16/H17*100</f>
        <v>14.285714285714285</v>
      </c>
      <c r="J16" s="112" t="s">
        <v>1922</v>
      </c>
    </row>
    <row r="17" spans="2:10">
      <c r="B17" s="110" t="s">
        <v>1872</v>
      </c>
      <c r="C17" s="115">
        <v>16</v>
      </c>
      <c r="D17" s="123">
        <v>1</v>
      </c>
      <c r="E17" s="108"/>
      <c r="G17" s="110" t="s">
        <v>1872</v>
      </c>
      <c r="H17" s="115">
        <f>SUM(H14:H16)</f>
        <v>14</v>
      </c>
      <c r="I17" s="123"/>
      <c r="J17" s="108"/>
    </row>
    <row r="19" spans="2:10">
      <c r="B19" s="114"/>
      <c r="C19" s="122" t="s">
        <v>1923</v>
      </c>
      <c r="D19" s="122"/>
      <c r="E19" s="114" t="s">
        <v>1876</v>
      </c>
      <c r="G19" s="114"/>
      <c r="H19" s="122" t="s">
        <v>1924</v>
      </c>
      <c r="I19" s="122"/>
      <c r="J19" s="114" t="s">
        <v>1876</v>
      </c>
    </row>
    <row r="20" spans="2:10" ht="40.5">
      <c r="B20" s="111" t="s">
        <v>26</v>
      </c>
      <c r="C20" s="116">
        <f>C8+C116</f>
        <v>13</v>
      </c>
      <c r="D20" s="130">
        <f>C20/C23*100</f>
        <v>81.25</v>
      </c>
      <c r="E20" s="112" t="s">
        <v>1925</v>
      </c>
      <c r="G20" s="111" t="s">
        <v>26</v>
      </c>
      <c r="H20" s="116">
        <v>3</v>
      </c>
      <c r="I20" s="130">
        <f>H20/H23*100</f>
        <v>50</v>
      </c>
      <c r="J20" s="112" t="s">
        <v>1892</v>
      </c>
    </row>
    <row r="21" spans="2:10">
      <c r="B21" s="111" t="s">
        <v>1878</v>
      </c>
      <c r="C21" s="116">
        <v>0</v>
      </c>
      <c r="D21" s="117"/>
      <c r="E21" s="111"/>
      <c r="G21" s="111" t="s">
        <v>1878</v>
      </c>
      <c r="H21" s="116">
        <v>0</v>
      </c>
      <c r="I21" s="117"/>
      <c r="J21" s="111"/>
    </row>
    <row r="22" spans="2:10" ht="40.5">
      <c r="B22" s="113" t="s">
        <v>36</v>
      </c>
      <c r="C22" s="118">
        <v>3</v>
      </c>
      <c r="D22" s="131">
        <f>C22/C23*100</f>
        <v>18.75</v>
      </c>
      <c r="E22" s="112" t="s">
        <v>1916</v>
      </c>
      <c r="G22" s="113" t="s">
        <v>36</v>
      </c>
      <c r="H22" s="118">
        <v>3</v>
      </c>
      <c r="I22" s="131">
        <f>H22/H23*100</f>
        <v>50</v>
      </c>
      <c r="J22" s="112" t="s">
        <v>1922</v>
      </c>
    </row>
    <row r="23" spans="2:10">
      <c r="B23" s="110" t="s">
        <v>1872</v>
      </c>
      <c r="C23" s="115">
        <v>16</v>
      </c>
      <c r="D23" s="123">
        <v>1</v>
      </c>
      <c r="E23" s="108"/>
      <c r="G23" s="110" t="s">
        <v>1872</v>
      </c>
      <c r="H23" s="115">
        <f>SUM(H20:H22)</f>
        <v>6</v>
      </c>
      <c r="I23" s="123"/>
      <c r="J23" s="108"/>
    </row>
    <row r="25" spans="2:10">
      <c r="B25" s="114"/>
      <c r="C25" s="122" t="s">
        <v>1926</v>
      </c>
      <c r="D25" s="122"/>
      <c r="E25" s="114" t="s">
        <v>1876</v>
      </c>
      <c r="G25" s="114"/>
      <c r="H25" s="122" t="s">
        <v>1927</v>
      </c>
      <c r="I25" s="122"/>
      <c r="J25" s="114" t="s">
        <v>1876</v>
      </c>
    </row>
    <row r="26" spans="2:10" ht="40.5">
      <c r="B26" s="111" t="s">
        <v>26</v>
      </c>
      <c r="C26" s="116">
        <v>12</v>
      </c>
      <c r="D26" s="130">
        <f>C26/C29*100</f>
        <v>80</v>
      </c>
      <c r="E26" s="112" t="s">
        <v>1925</v>
      </c>
      <c r="G26" s="111" t="s">
        <v>26</v>
      </c>
      <c r="H26" s="116">
        <v>3</v>
      </c>
      <c r="I26" s="130">
        <f>H26/H29*100</f>
        <v>100</v>
      </c>
      <c r="J26" s="112" t="s">
        <v>1928</v>
      </c>
    </row>
    <row r="27" spans="2:10">
      <c r="B27" s="111" t="s">
        <v>1878</v>
      </c>
      <c r="C27" s="116">
        <v>0</v>
      </c>
      <c r="D27" s="117"/>
      <c r="E27" s="111"/>
      <c r="G27" s="111" t="s">
        <v>1878</v>
      </c>
      <c r="H27" s="116">
        <v>0</v>
      </c>
      <c r="I27" s="117"/>
      <c r="J27" s="111"/>
    </row>
    <row r="28" spans="2:10" ht="40.5">
      <c r="B28" s="113" t="s">
        <v>36</v>
      </c>
      <c r="C28" s="118">
        <v>3</v>
      </c>
      <c r="D28" s="131">
        <f>C28/C29*100</f>
        <v>20</v>
      </c>
      <c r="E28" s="112" t="s">
        <v>1916</v>
      </c>
      <c r="G28" s="113" t="s">
        <v>36</v>
      </c>
      <c r="H28" s="118">
        <v>0</v>
      </c>
      <c r="I28" s="131">
        <f>H28/H29*100</f>
        <v>0</v>
      </c>
      <c r="J28" s="112"/>
    </row>
    <row r="29" spans="2:10">
      <c r="B29" s="110" t="s">
        <v>1872</v>
      </c>
      <c r="C29" s="115">
        <v>15</v>
      </c>
      <c r="D29" s="123">
        <v>1</v>
      </c>
      <c r="E29" s="108"/>
      <c r="G29" s="110" t="s">
        <v>1872</v>
      </c>
      <c r="H29" s="115">
        <f>SUM(H26:H28)</f>
        <v>3</v>
      </c>
      <c r="I29" s="123"/>
      <c r="J29" s="108"/>
    </row>
    <row r="31" spans="2:10">
      <c r="B31" s="114"/>
      <c r="C31" s="122" t="s">
        <v>1929</v>
      </c>
      <c r="D31" s="122"/>
      <c r="E31" s="114" t="s">
        <v>1876</v>
      </c>
      <c r="G31" s="114"/>
      <c r="H31" s="122" t="s">
        <v>1930</v>
      </c>
      <c r="I31" s="122"/>
      <c r="J31" s="114" t="s">
        <v>1876</v>
      </c>
    </row>
    <row r="32" spans="2:10" ht="40.5">
      <c r="B32" s="111" t="s">
        <v>26</v>
      </c>
      <c r="C32" s="116">
        <v>3</v>
      </c>
      <c r="D32" s="130">
        <f>C32/C35*100</f>
        <v>20</v>
      </c>
      <c r="E32" s="112" t="s">
        <v>1931</v>
      </c>
      <c r="G32" s="111" t="s">
        <v>26</v>
      </c>
      <c r="H32" s="116">
        <v>3</v>
      </c>
      <c r="I32" s="130">
        <f>H32/H35*100</f>
        <v>50</v>
      </c>
      <c r="J32" s="112" t="s">
        <v>1928</v>
      </c>
    </row>
    <row r="33" spans="2:10">
      <c r="B33" s="111" t="s">
        <v>1878</v>
      </c>
      <c r="C33" s="116">
        <v>0</v>
      </c>
      <c r="D33" s="117"/>
      <c r="E33" s="111"/>
      <c r="G33" s="111" t="s">
        <v>1878</v>
      </c>
      <c r="H33" s="116">
        <v>0</v>
      </c>
      <c r="I33" s="117"/>
      <c r="J33" s="111"/>
    </row>
    <row r="34" spans="2:10" ht="40.5">
      <c r="B34" s="113" t="s">
        <v>36</v>
      </c>
      <c r="C34" s="118">
        <v>1</v>
      </c>
      <c r="D34" s="131">
        <f>C34/C35*100</f>
        <v>6.666666666666667</v>
      </c>
      <c r="E34" s="112" t="s">
        <v>1932</v>
      </c>
      <c r="G34" s="113" t="s">
        <v>36</v>
      </c>
      <c r="H34" s="118">
        <v>3</v>
      </c>
      <c r="I34" s="131">
        <f>H34/H35*100</f>
        <v>50</v>
      </c>
      <c r="J34" s="112" t="s">
        <v>1933</v>
      </c>
    </row>
    <row r="35" spans="2:10">
      <c r="B35" s="110" t="s">
        <v>1872</v>
      </c>
      <c r="C35" s="115">
        <v>15</v>
      </c>
      <c r="D35" s="123">
        <v>1</v>
      </c>
      <c r="E35" s="108"/>
      <c r="G35" s="110" t="s">
        <v>1872</v>
      </c>
      <c r="H35" s="115">
        <f>SUM(H32:H34)</f>
        <v>6</v>
      </c>
      <c r="I35" s="123"/>
      <c r="J35" s="10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DF664-2592-4A2D-B40D-AE6E43311484}">
  <dimension ref="A1:Z16"/>
  <sheetViews>
    <sheetView topLeftCell="K1" workbookViewId="0">
      <selection activeCell="K7" sqref="K7"/>
    </sheetView>
  </sheetViews>
  <sheetFormatPr defaultColWidth="9.140625" defaultRowHeight="15"/>
  <cols>
    <col min="1" max="2" width="6" customWidth="1"/>
    <col min="3" max="3" width="10.42578125" customWidth="1"/>
    <col min="4" max="4" width="6.85546875" customWidth="1"/>
    <col min="5" max="5" width="9" customWidth="1"/>
    <col min="6" max="6" width="16.85546875" customWidth="1"/>
    <col min="7" max="7" width="10.42578125" customWidth="1"/>
    <col min="8" max="9" width="23" customWidth="1"/>
    <col min="10" max="10" width="8.5703125" customWidth="1"/>
    <col min="11" max="11" width="7.28515625" customWidth="1"/>
    <col min="12" max="12" width="43.7109375" customWidth="1"/>
    <col min="13" max="13" width="9.140625" bestFit="1" customWidth="1"/>
    <col min="14" max="14" width="61.7109375" customWidth="1"/>
    <col min="15" max="15" width="35" customWidth="1"/>
    <col min="16" max="16" width="17.5703125" customWidth="1"/>
    <col min="17" max="17" width="17.140625" customWidth="1"/>
    <col min="18" max="18" width="13.42578125" customWidth="1"/>
    <col min="19" max="19" width="34.28515625" customWidth="1"/>
    <col min="20" max="20" width="9.140625" bestFit="1" customWidth="1"/>
  </cols>
  <sheetData>
    <row r="1" spans="1:26">
      <c r="A1" s="1" t="s">
        <v>0</v>
      </c>
      <c r="B1" s="1" t="s">
        <v>1</v>
      </c>
      <c r="C1" s="2" t="s">
        <v>2</v>
      </c>
      <c r="D1" s="2" t="s">
        <v>3</v>
      </c>
      <c r="E1" s="2" t="s">
        <v>4</v>
      </c>
      <c r="F1" s="1" t="s">
        <v>5</v>
      </c>
      <c r="G1" s="2" t="s">
        <v>6</v>
      </c>
      <c r="H1" s="1" t="s">
        <v>7</v>
      </c>
      <c r="I1" s="1" t="s">
        <v>8</v>
      </c>
      <c r="J1" s="1" t="s">
        <v>9</v>
      </c>
      <c r="K1" s="1" t="s">
        <v>10</v>
      </c>
      <c r="L1" s="3" t="s">
        <v>11</v>
      </c>
      <c r="M1" s="1" t="s">
        <v>12</v>
      </c>
      <c r="N1" s="1"/>
      <c r="O1" s="4" t="s">
        <v>13</v>
      </c>
      <c r="P1" s="5" t="s">
        <v>14</v>
      </c>
      <c r="Q1" s="5" t="s">
        <v>15</v>
      </c>
    </row>
    <row r="2" spans="1:26">
      <c r="A2">
        <v>1</v>
      </c>
      <c r="B2" s="63">
        <v>3</v>
      </c>
      <c r="C2" s="63" t="s">
        <v>23</v>
      </c>
      <c r="D2" s="64">
        <v>46024</v>
      </c>
      <c r="E2" s="64" t="s">
        <v>24</v>
      </c>
      <c r="F2" s="63" t="s">
        <v>25</v>
      </c>
      <c r="G2" s="63" t="s">
        <v>36</v>
      </c>
      <c r="H2" s="63" t="s">
        <v>27</v>
      </c>
      <c r="I2" s="63" t="s">
        <v>28</v>
      </c>
      <c r="J2" s="65" t="s">
        <v>37</v>
      </c>
      <c r="K2" s="65">
        <v>1</v>
      </c>
      <c r="L2" s="63" t="s">
        <v>38</v>
      </c>
      <c r="M2" s="65" t="s">
        <v>31</v>
      </c>
      <c r="N2" s="63" t="s">
        <v>39</v>
      </c>
      <c r="O2" s="66" t="s">
        <v>40</v>
      </c>
      <c r="P2" s="67" t="s">
        <v>41</v>
      </c>
      <c r="Q2" s="68" t="s">
        <v>42</v>
      </c>
      <c r="R2" s="63"/>
      <c r="S2" s="63" t="s">
        <v>44</v>
      </c>
      <c r="T2" s="63"/>
      <c r="U2" s="63"/>
      <c r="V2" s="63"/>
      <c r="W2" s="63"/>
      <c r="X2" s="63"/>
      <c r="Y2" s="63"/>
      <c r="Z2" s="63"/>
    </row>
    <row r="3" spans="1:26">
      <c r="A3">
        <v>2</v>
      </c>
      <c r="B3" s="69">
        <v>41</v>
      </c>
      <c r="C3" s="69" t="s">
        <v>23</v>
      </c>
      <c r="D3" s="70">
        <v>46032</v>
      </c>
      <c r="E3" s="69" t="s">
        <v>24</v>
      </c>
      <c r="F3" s="69" t="s">
        <v>25</v>
      </c>
      <c r="G3" s="69" t="s">
        <v>36</v>
      </c>
      <c r="H3" s="69" t="s">
        <v>187</v>
      </c>
      <c r="I3" s="69" t="s">
        <v>188</v>
      </c>
      <c r="J3" s="71" t="s">
        <v>37</v>
      </c>
      <c r="K3" s="71">
        <v>1</v>
      </c>
      <c r="L3" s="69" t="s">
        <v>196</v>
      </c>
      <c r="M3" s="71" t="s">
        <v>31</v>
      </c>
      <c r="N3" s="69" t="s">
        <v>197</v>
      </c>
      <c r="O3" s="69"/>
      <c r="P3" s="72"/>
      <c r="Q3" s="69"/>
      <c r="R3" s="69"/>
      <c r="S3" s="69"/>
      <c r="T3" s="69"/>
      <c r="U3" s="69"/>
      <c r="V3" s="69"/>
      <c r="W3" s="69"/>
      <c r="X3" s="69"/>
      <c r="Y3" s="69"/>
      <c r="Z3" s="69"/>
    </row>
    <row r="4" spans="1:26">
      <c r="A4">
        <v>3</v>
      </c>
      <c r="B4" s="69">
        <v>71</v>
      </c>
      <c r="C4" s="69" t="s">
        <v>23</v>
      </c>
      <c r="D4" s="70">
        <v>46044</v>
      </c>
      <c r="E4" s="69" t="s">
        <v>24</v>
      </c>
      <c r="F4" s="69" t="s">
        <v>138</v>
      </c>
      <c r="G4" s="69" t="s">
        <v>36</v>
      </c>
      <c r="H4" s="69" t="s">
        <v>139</v>
      </c>
      <c r="I4" s="69" t="s">
        <v>295</v>
      </c>
      <c r="J4" s="71" t="s">
        <v>62</v>
      </c>
      <c r="K4" s="71">
        <v>4</v>
      </c>
      <c r="L4" s="69" t="s">
        <v>38</v>
      </c>
      <c r="M4" s="71" t="s">
        <v>31</v>
      </c>
      <c r="N4" s="69" t="s">
        <v>296</v>
      </c>
      <c r="O4" s="72" t="s">
        <v>297</v>
      </c>
      <c r="P4" s="73" t="s">
        <v>298</v>
      </c>
      <c r="Q4" s="74" t="s">
        <v>299</v>
      </c>
      <c r="R4" s="69"/>
      <c r="S4" s="69"/>
      <c r="T4" s="69"/>
      <c r="U4" s="69"/>
      <c r="V4" s="69"/>
      <c r="W4" s="69"/>
      <c r="X4" s="69"/>
      <c r="Y4" s="69"/>
      <c r="Z4" s="69"/>
    </row>
    <row r="5" spans="1:26">
      <c r="A5">
        <v>4</v>
      </c>
      <c r="B5" s="69">
        <v>73</v>
      </c>
      <c r="C5" s="69" t="s">
        <v>23</v>
      </c>
      <c r="D5" s="70">
        <v>46045</v>
      </c>
      <c r="E5" s="69" t="s">
        <v>24</v>
      </c>
      <c r="F5" s="69" t="s">
        <v>138</v>
      </c>
      <c r="G5" s="69" t="s">
        <v>36</v>
      </c>
      <c r="H5" s="69" t="s">
        <v>139</v>
      </c>
      <c r="I5" s="69" t="s">
        <v>304</v>
      </c>
      <c r="J5" s="71" t="s">
        <v>62</v>
      </c>
      <c r="K5" s="71">
        <v>3</v>
      </c>
      <c r="L5" s="69" t="s">
        <v>38</v>
      </c>
      <c r="M5" s="71" t="s">
        <v>31</v>
      </c>
      <c r="N5" s="69" t="s">
        <v>305</v>
      </c>
      <c r="O5" s="72" t="s">
        <v>306</v>
      </c>
      <c r="P5" s="73" t="s">
        <v>307</v>
      </c>
      <c r="Q5" s="74" t="s">
        <v>308</v>
      </c>
      <c r="R5" s="69"/>
      <c r="S5" s="69"/>
      <c r="T5" s="69"/>
      <c r="U5" s="69"/>
      <c r="V5" s="69"/>
      <c r="W5" s="69"/>
      <c r="X5" s="69"/>
      <c r="Y5" s="69"/>
      <c r="Z5" s="69"/>
    </row>
    <row r="6" spans="1:26" ht="22.5">
      <c r="A6">
        <v>5</v>
      </c>
      <c r="B6" s="75">
        <v>76</v>
      </c>
      <c r="C6" s="75" t="s">
        <v>23</v>
      </c>
      <c r="D6" s="76">
        <v>46046</v>
      </c>
      <c r="E6" s="75" t="s">
        <v>24</v>
      </c>
      <c r="F6" s="75" t="s">
        <v>321</v>
      </c>
      <c r="G6" s="75" t="s">
        <v>36</v>
      </c>
      <c r="H6" s="75" t="s">
        <v>322</v>
      </c>
      <c r="I6" s="75" t="s">
        <v>323</v>
      </c>
      <c r="J6" s="77" t="s">
        <v>29</v>
      </c>
      <c r="K6" s="77">
        <v>6</v>
      </c>
      <c r="L6" s="75" t="s">
        <v>38</v>
      </c>
      <c r="M6" s="77" t="s">
        <v>31</v>
      </c>
      <c r="N6" s="75" t="s">
        <v>324</v>
      </c>
      <c r="O6" s="78" t="s">
        <v>325</v>
      </c>
      <c r="P6" s="79" t="s">
        <v>326</v>
      </c>
      <c r="Q6" s="80" t="s">
        <v>327</v>
      </c>
      <c r="R6" s="75"/>
      <c r="S6" s="75"/>
      <c r="T6" s="75"/>
      <c r="U6" s="75"/>
      <c r="V6" s="75"/>
      <c r="W6" s="75"/>
      <c r="X6" s="75"/>
      <c r="Y6" s="75"/>
      <c r="Z6" s="75"/>
    </row>
    <row r="7" spans="1:26">
      <c r="A7">
        <v>6</v>
      </c>
      <c r="B7" s="69">
        <v>91</v>
      </c>
      <c r="C7" s="69" t="s">
        <v>376</v>
      </c>
      <c r="D7" s="70">
        <v>46054</v>
      </c>
      <c r="E7" s="69" t="s">
        <v>24</v>
      </c>
      <c r="F7" s="69" t="s">
        <v>383</v>
      </c>
      <c r="G7" s="69" t="s">
        <v>36</v>
      </c>
      <c r="H7" s="69" t="s">
        <v>264</v>
      </c>
      <c r="I7" s="69" t="s">
        <v>384</v>
      </c>
      <c r="J7" s="71" t="s">
        <v>62</v>
      </c>
      <c r="K7" s="71">
        <v>1</v>
      </c>
      <c r="L7" s="69" t="s">
        <v>141</v>
      </c>
      <c r="M7" s="71" t="s">
        <v>31</v>
      </c>
      <c r="N7" s="81" t="s">
        <v>385</v>
      </c>
      <c r="O7" s="82" t="s">
        <v>386</v>
      </c>
      <c r="P7" s="83">
        <v>1710682855</v>
      </c>
      <c r="Q7" s="73" t="s">
        <v>387</v>
      </c>
      <c r="R7" s="69" t="s">
        <v>43</v>
      </c>
      <c r="S7" s="69" t="s">
        <v>382</v>
      </c>
      <c r="T7" s="69"/>
      <c r="U7" s="69"/>
      <c r="V7" s="69"/>
      <c r="W7" s="69"/>
      <c r="X7" s="69"/>
      <c r="Y7" s="69"/>
      <c r="Z7" s="69"/>
    </row>
    <row r="8" spans="1:26">
      <c r="A8">
        <v>7</v>
      </c>
      <c r="B8" s="69">
        <v>93</v>
      </c>
      <c r="C8" s="69" t="s">
        <v>376</v>
      </c>
      <c r="D8" s="70">
        <v>46054</v>
      </c>
      <c r="E8" s="69" t="s">
        <v>24</v>
      </c>
      <c r="F8" s="69" t="s">
        <v>53</v>
      </c>
      <c r="G8" s="69" t="s">
        <v>392</v>
      </c>
      <c r="H8" s="69" t="s">
        <v>54</v>
      </c>
      <c r="I8" s="69" t="s">
        <v>55</v>
      </c>
      <c r="J8" s="71" t="s">
        <v>29</v>
      </c>
      <c r="K8" s="71">
        <v>4</v>
      </c>
      <c r="L8" s="69" t="s">
        <v>57</v>
      </c>
      <c r="M8" s="71" t="s">
        <v>31</v>
      </c>
      <c r="N8" s="69" t="s">
        <v>393</v>
      </c>
      <c r="O8" s="69"/>
      <c r="P8" s="73" t="s">
        <v>390</v>
      </c>
      <c r="Q8" s="91" t="s">
        <v>391</v>
      </c>
      <c r="R8" s="69"/>
      <c r="S8" s="69" t="s">
        <v>394</v>
      </c>
      <c r="T8" s="69"/>
      <c r="U8" s="69"/>
      <c r="V8" s="69"/>
      <c r="W8" s="69"/>
      <c r="X8" s="69"/>
      <c r="Y8" s="69"/>
      <c r="Z8" s="69"/>
    </row>
    <row r="9" spans="1:26">
      <c r="A9">
        <v>8</v>
      </c>
      <c r="B9" s="84">
        <v>108</v>
      </c>
      <c r="C9" s="84" t="s">
        <v>376</v>
      </c>
      <c r="D9" s="85">
        <v>46059</v>
      </c>
      <c r="E9" s="84" t="s">
        <v>24</v>
      </c>
      <c r="F9" s="84" t="s">
        <v>74</v>
      </c>
      <c r="G9" s="84" t="s">
        <v>36</v>
      </c>
      <c r="H9" s="84" t="s">
        <v>264</v>
      </c>
      <c r="I9" s="84" t="s">
        <v>230</v>
      </c>
      <c r="J9" s="86" t="s">
        <v>29</v>
      </c>
      <c r="K9" s="86">
        <v>1</v>
      </c>
      <c r="L9" s="84" t="s">
        <v>34</v>
      </c>
      <c r="M9" s="86" t="s">
        <v>31</v>
      </c>
      <c r="N9" s="84" t="s">
        <v>467</v>
      </c>
      <c r="O9" s="69" t="s">
        <v>468</v>
      </c>
      <c r="P9" s="87" t="s">
        <v>469</v>
      </c>
      <c r="Q9" s="87" t="s">
        <v>470</v>
      </c>
      <c r="R9" s="84"/>
      <c r="S9" s="69"/>
      <c r="T9" s="69"/>
      <c r="U9" s="69"/>
      <c r="V9" s="69"/>
      <c r="W9" s="69"/>
      <c r="X9" s="69"/>
      <c r="Y9" s="69"/>
      <c r="Z9" s="69"/>
    </row>
    <row r="10" spans="1:26">
      <c r="A10">
        <v>9</v>
      </c>
      <c r="B10" s="69">
        <v>112</v>
      </c>
      <c r="C10" s="69" t="s">
        <v>376</v>
      </c>
      <c r="D10" s="70">
        <v>46062</v>
      </c>
      <c r="E10" s="69" t="s">
        <v>24</v>
      </c>
      <c r="F10" s="69" t="s">
        <v>216</v>
      </c>
      <c r="G10" s="69" t="s">
        <v>392</v>
      </c>
      <c r="H10" s="69" t="s">
        <v>293</v>
      </c>
      <c r="I10" s="69" t="s">
        <v>188</v>
      </c>
      <c r="J10" s="71" t="s">
        <v>62</v>
      </c>
      <c r="K10" s="71">
        <v>5</v>
      </c>
      <c r="L10" s="69" t="s">
        <v>38</v>
      </c>
      <c r="M10" s="71" t="s">
        <v>31</v>
      </c>
      <c r="N10" s="69" t="s">
        <v>489</v>
      </c>
      <c r="O10" s="69" t="s">
        <v>490</v>
      </c>
      <c r="P10" s="73" t="s">
        <v>491</v>
      </c>
      <c r="Q10" s="73" t="s">
        <v>492</v>
      </c>
      <c r="R10" s="69"/>
      <c r="S10" s="69"/>
      <c r="T10" s="69"/>
      <c r="U10" s="69"/>
      <c r="V10" s="69"/>
      <c r="W10" s="69"/>
      <c r="X10" s="69"/>
      <c r="Y10" s="69"/>
      <c r="Z10" s="69"/>
    </row>
    <row r="11" spans="1:26">
      <c r="A11">
        <v>10</v>
      </c>
      <c r="B11" s="69">
        <v>118</v>
      </c>
      <c r="C11" s="69" t="s">
        <v>376</v>
      </c>
      <c r="D11" s="70">
        <v>46063</v>
      </c>
      <c r="E11" s="69" t="s">
        <v>24</v>
      </c>
      <c r="F11" s="69" t="s">
        <v>340</v>
      </c>
      <c r="G11" s="69" t="s">
        <v>36</v>
      </c>
      <c r="H11" s="69" t="s">
        <v>341</v>
      </c>
      <c r="I11" s="69" t="s">
        <v>516</v>
      </c>
      <c r="J11" s="71" t="s">
        <v>37</v>
      </c>
      <c r="K11" s="71">
        <v>1</v>
      </c>
      <c r="L11" s="69" t="s">
        <v>38</v>
      </c>
      <c r="M11" s="71" t="s">
        <v>31</v>
      </c>
      <c r="N11" s="69" t="s">
        <v>517</v>
      </c>
      <c r="O11" s="69" t="s">
        <v>518</v>
      </c>
      <c r="P11" s="73" t="s">
        <v>519</v>
      </c>
      <c r="Q11" s="73" t="s">
        <v>520</v>
      </c>
      <c r="R11" s="69"/>
      <c r="S11" s="69"/>
      <c r="T11" s="69"/>
      <c r="U11" s="69"/>
      <c r="V11" s="69"/>
      <c r="W11" s="69"/>
      <c r="X11" s="69"/>
      <c r="Y11" s="69"/>
      <c r="Z11" s="69"/>
    </row>
    <row r="12" spans="1:26">
      <c r="A12">
        <v>11</v>
      </c>
      <c r="B12" s="69">
        <v>120</v>
      </c>
      <c r="C12" s="69" t="s">
        <v>376</v>
      </c>
      <c r="D12" s="70">
        <v>46063</v>
      </c>
      <c r="E12" s="69" t="s">
        <v>24</v>
      </c>
      <c r="F12" s="69" t="s">
        <v>211</v>
      </c>
      <c r="G12" s="69" t="s">
        <v>392</v>
      </c>
      <c r="H12" s="69" t="s">
        <v>212</v>
      </c>
      <c r="I12" s="69" t="s">
        <v>522</v>
      </c>
      <c r="J12" s="71" t="s">
        <v>37</v>
      </c>
      <c r="K12" s="71">
        <v>1</v>
      </c>
      <c r="L12" s="69" t="s">
        <v>194</v>
      </c>
      <c r="M12" s="71" t="s">
        <v>31</v>
      </c>
      <c r="N12" s="69" t="s">
        <v>528</v>
      </c>
      <c r="O12" s="69" t="s">
        <v>524</v>
      </c>
      <c r="P12" s="73" t="s">
        <v>525</v>
      </c>
      <c r="Q12" s="73" t="s">
        <v>526</v>
      </c>
      <c r="R12" s="69"/>
      <c r="S12" s="69"/>
      <c r="T12" s="69"/>
      <c r="U12" s="69"/>
      <c r="V12" s="69"/>
      <c r="W12" s="69"/>
      <c r="X12" s="69"/>
      <c r="Y12" s="69"/>
      <c r="Z12" s="69"/>
    </row>
    <row r="13" spans="1:26">
      <c r="A13">
        <v>12</v>
      </c>
      <c r="B13" s="69">
        <v>122</v>
      </c>
      <c r="C13" s="69" t="s">
        <v>376</v>
      </c>
      <c r="D13" s="70">
        <v>46064</v>
      </c>
      <c r="E13" s="69" t="s">
        <v>24</v>
      </c>
      <c r="F13" s="69" t="s">
        <v>74</v>
      </c>
      <c r="G13" s="69" t="s">
        <v>392</v>
      </c>
      <c r="H13" s="69" t="s">
        <v>264</v>
      </c>
      <c r="I13" s="69" t="s">
        <v>76</v>
      </c>
      <c r="J13" s="71" t="s">
        <v>62</v>
      </c>
      <c r="K13" s="71">
        <v>1</v>
      </c>
      <c r="L13" s="69" t="s">
        <v>38</v>
      </c>
      <c r="M13" s="71" t="s">
        <v>31</v>
      </c>
      <c r="N13" s="69" t="s">
        <v>535</v>
      </c>
      <c r="O13" s="88" t="s">
        <v>531</v>
      </c>
      <c r="P13" s="88" t="s">
        <v>532</v>
      </c>
      <c r="Q13" s="88" t="s">
        <v>533</v>
      </c>
      <c r="R13" s="69" t="s">
        <v>43</v>
      </c>
      <c r="S13" s="69" t="s">
        <v>534</v>
      </c>
      <c r="T13" s="69"/>
      <c r="U13" s="69"/>
      <c r="V13" s="69"/>
      <c r="W13" s="69"/>
      <c r="X13" s="69"/>
      <c r="Y13" s="69"/>
      <c r="Z13" s="69"/>
    </row>
    <row r="14" spans="1:26">
      <c r="A14">
        <v>13</v>
      </c>
      <c r="B14" s="69">
        <v>125</v>
      </c>
      <c r="C14" s="69" t="s">
        <v>376</v>
      </c>
      <c r="D14" s="70">
        <v>46066</v>
      </c>
      <c r="E14" s="69" t="s">
        <v>24</v>
      </c>
      <c r="F14" s="69" t="s">
        <v>543</v>
      </c>
      <c r="G14" s="69" t="s">
        <v>392</v>
      </c>
      <c r="H14" s="69" t="s">
        <v>544</v>
      </c>
      <c r="I14" s="69" t="s">
        <v>545</v>
      </c>
      <c r="J14" s="71" t="s">
        <v>62</v>
      </c>
      <c r="K14" s="71">
        <v>2</v>
      </c>
      <c r="L14" s="69" t="s">
        <v>38</v>
      </c>
      <c r="M14" s="71" t="s">
        <v>31</v>
      </c>
      <c r="N14" s="69" t="s">
        <v>546</v>
      </c>
      <c r="O14" s="88" t="s">
        <v>547</v>
      </c>
      <c r="P14" s="89">
        <v>918743477</v>
      </c>
      <c r="Q14" s="90" t="s">
        <v>548</v>
      </c>
      <c r="R14" s="69" t="s">
        <v>43</v>
      </c>
      <c r="S14" s="69" t="s">
        <v>549</v>
      </c>
      <c r="T14" s="69"/>
      <c r="U14" s="69"/>
      <c r="V14" s="69"/>
      <c r="W14" s="69"/>
      <c r="X14" s="69"/>
      <c r="Y14" s="69"/>
      <c r="Z14" s="69"/>
    </row>
    <row r="15" spans="1:26">
      <c r="A15">
        <v>14</v>
      </c>
      <c r="B15" s="69">
        <v>136</v>
      </c>
      <c r="C15" s="69" t="s">
        <v>376</v>
      </c>
      <c r="D15" s="70">
        <v>46071</v>
      </c>
      <c r="E15" s="69" t="s">
        <v>24</v>
      </c>
      <c r="F15" s="69" t="s">
        <v>96</v>
      </c>
      <c r="G15" s="69" t="s">
        <v>36</v>
      </c>
      <c r="H15" s="69" t="s">
        <v>97</v>
      </c>
      <c r="I15" s="69" t="s">
        <v>596</v>
      </c>
      <c r="J15" s="71" t="s">
        <v>579</v>
      </c>
      <c r="K15" s="71">
        <v>1</v>
      </c>
      <c r="L15" s="69" t="s">
        <v>38</v>
      </c>
      <c r="M15" s="71" t="s">
        <v>31</v>
      </c>
      <c r="N15" s="69" t="s">
        <v>597</v>
      </c>
      <c r="O15" s="88" t="s">
        <v>598</v>
      </c>
      <c r="P15" s="89" t="s">
        <v>599</v>
      </c>
      <c r="Q15" s="90" t="s">
        <v>600</v>
      </c>
      <c r="R15" s="69" t="s">
        <v>43</v>
      </c>
      <c r="S15" s="69" t="s">
        <v>382</v>
      </c>
      <c r="T15" s="69"/>
      <c r="U15" s="69"/>
      <c r="V15" s="69"/>
      <c r="W15" s="69"/>
      <c r="X15" s="69"/>
      <c r="Y15" s="69"/>
      <c r="Z15" s="69"/>
    </row>
    <row r="16" spans="1:26">
      <c r="B16" s="69"/>
      <c r="C16" s="69"/>
      <c r="D16" s="69"/>
      <c r="E16" s="69"/>
      <c r="F16" s="69"/>
      <c r="G16" s="69"/>
      <c r="H16" s="69"/>
      <c r="I16" s="69"/>
      <c r="J16" s="71"/>
      <c r="K16" s="71"/>
      <c r="L16" s="69"/>
      <c r="M16" s="71"/>
      <c r="N16" s="69"/>
      <c r="O16" s="72"/>
      <c r="P16" s="73"/>
      <c r="Q16" s="73"/>
      <c r="R16" s="69"/>
      <c r="S16" s="69"/>
      <c r="T16" s="69"/>
      <c r="U16" s="69"/>
      <c r="V16" s="69"/>
      <c r="W16" s="69"/>
      <c r="X16" s="69"/>
      <c r="Y16" s="69"/>
      <c r="Z16" s="6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2026-01-05T17:56:43Z</dcterms:created>
  <dcterms:modified xsi:type="dcterms:W3CDTF">2026-07-02T20:42:48Z</dcterms:modified>
  <cp:category/>
  <cp:contentStatus/>
</cp:coreProperties>
</file>